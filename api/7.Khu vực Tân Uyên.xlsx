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C:\Users\DELL\Desktop\Quang\Khu vực\"/>
    </mc:Choice>
  </mc:AlternateContent>
  <xr:revisionPtr revIDLastSave="0" documentId="13_ncr:1_{0773310A-8F7A-425D-A47B-B28E33A9305B}" xr6:coauthVersionLast="47" xr6:coauthVersionMax="47" xr10:uidLastSave="{00000000-0000-0000-0000-000000000000}"/>
  <bookViews>
    <workbookView xWindow="-120" yWindow="-120" windowWidth="29040" windowHeight="15720" xr2:uid="{00000000-000D-0000-FFFF-FFFF00000000}"/>
  </bookViews>
  <sheets>
    <sheet name="Nguy Hại" sheetId="2" r:id="rId1"/>
    <sheet name="Công Nghiệp" sheetId="3" r:id="rId2"/>
  </sheets>
  <definedNames>
    <definedName name="_xlnm._FilterDatabase" localSheetId="1" hidden="1">'Công Nghiệp'!$A$2:$BH$264</definedName>
    <definedName name="_xlnm._FilterDatabase" localSheetId="0" hidden="1">'Nguy Hại'!$A$3:$AE$506</definedName>
    <definedName name="_xlnm.Print_Area" localSheetId="1">'Công Nghiệp'!$A$1:$K$218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3" i="3" l="1"/>
  <c r="H4" i="3"/>
  <c r="G4" i="3"/>
  <c r="B4" i="3"/>
  <c r="Q116" i="2"/>
  <c r="Q1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Oem</author>
    <author>user</author>
    <author>Minh Du</author>
    <author>Duy</author>
  </authors>
  <commentList>
    <comment ref="I23" authorId="0" shapeId="0" xr:uid="{00000000-0006-0000-0000-000001000000}">
      <text>
        <r>
          <rPr>
            <b/>
            <sz val="9"/>
            <rFont val="Tahoma"/>
            <family val="2"/>
          </rPr>
          <t>Oem:</t>
        </r>
        <r>
          <rPr>
            <sz val="9"/>
            <rFont val="Tahoma"/>
            <family val="2"/>
          </rPr>
          <t xml:space="preserve">
báo ngưng</t>
        </r>
      </text>
    </comment>
    <comment ref="E35" authorId="1" shapeId="0" xr:uid="{00000000-0006-0000-0000-000002000000}">
      <text>
        <r>
          <rPr>
            <b/>
            <sz val="9"/>
            <rFont val="Tahoma"/>
            <family val="2"/>
          </rPr>
          <t>user:</t>
        </r>
        <r>
          <rPr>
            <sz val="9"/>
            <rFont val="Tahoma"/>
            <family val="2"/>
          </rPr>
          <t xml:space="preserve">
4</t>
        </r>
      </text>
    </comment>
    <comment ref="I41" authorId="2" shapeId="0" xr:uid="{00000000-0006-0000-0000-000003000000}">
      <text>
        <r>
          <rPr>
            <b/>
            <sz val="13"/>
            <rFont val="Tahoma"/>
            <family val="2"/>
          </rPr>
          <t>Minh Du:</t>
        </r>
        <r>
          <rPr>
            <sz val="13"/>
            <rFont val="Tahoma"/>
            <family val="2"/>
          </rPr>
          <t xml:space="preserve">
Ngày 28/11/2015 long yêu cầu tăng lịch thu gom 2 tháng 1 lần ( lúc trước 3 tháng/ Lân)</t>
        </r>
      </text>
    </comment>
    <comment ref="I42" authorId="2" shapeId="0" xr:uid="{00000000-0006-0000-0000-000004000000}">
      <text>
        <r>
          <rPr>
            <b/>
            <sz val="13"/>
            <rFont val="Tahoma"/>
            <family val="2"/>
          </rPr>
          <t>Minh Du:</t>
        </r>
        <r>
          <rPr>
            <sz val="13"/>
            <rFont val="Tahoma"/>
            <family val="2"/>
          </rPr>
          <t xml:space="preserve">
Ngày 28/11/2015 long yêu cầu tăng lịch thu gom 2 tháng 1 lần ( lúc trước 3 tháng/ Lân)</t>
        </r>
      </text>
    </comment>
    <comment ref="H44" authorId="3" shapeId="0" xr:uid="{00000000-0006-0000-0000-000005000000}">
      <text>
        <r>
          <rPr>
            <b/>
            <sz val="8"/>
            <rFont val="Tahoma"/>
            <family val="2"/>
          </rPr>
          <t>Phat:</t>
        </r>
        <r>
          <rPr>
            <sz val="8"/>
            <rFont val="Tahoma"/>
            <family val="2"/>
          </rPr>
          <t xml:space="preserve">
03/04/2013
Vân Báo ngưng]
</t>
        </r>
      </text>
    </comment>
    <comment ref="H46" authorId="3" shapeId="0" xr:uid="{00000000-0006-0000-0000-000006000000}">
      <text>
        <r>
          <rPr>
            <b/>
            <sz val="8"/>
            <rFont val="Tahoma"/>
            <family val="2"/>
          </rPr>
          <t>Phat:</t>
        </r>
        <r>
          <rPr>
            <sz val="8"/>
            <rFont val="Tahoma"/>
            <family val="2"/>
          </rPr>
          <t xml:space="preserve">
03/04/2013
Vân Báo ngưng]
</t>
        </r>
      </text>
    </comment>
    <comment ref="H47" authorId="3" shapeId="0" xr:uid="{00000000-0006-0000-0000-000007000000}">
      <text>
        <r>
          <rPr>
            <b/>
            <sz val="8"/>
            <rFont val="Tahoma"/>
            <family val="2"/>
          </rPr>
          <t>Phat:</t>
        </r>
        <r>
          <rPr>
            <sz val="8"/>
            <rFont val="Tahoma"/>
            <family val="2"/>
          </rPr>
          <t xml:space="preserve">
03/04/2013
Vân Báo ngưng]
</t>
        </r>
      </text>
    </comment>
    <comment ref="I59" authorId="2" shapeId="0" xr:uid="{00000000-0006-0000-0000-000008000000}">
      <text>
        <r>
          <rPr>
            <b/>
            <sz val="9"/>
            <rFont val="Tahoma"/>
            <family val="2"/>
          </rPr>
          <t>Minh Du:</t>
        </r>
        <r>
          <rPr>
            <sz val="9"/>
            <rFont val="Tahoma"/>
            <family val="2"/>
          </rPr>
          <t xml:space="preserve">
Ngày 21/12/2015 quân yêu cầu chuyển lich thu gom 1la62n/1 tháng</t>
        </r>
      </text>
    </comment>
    <comment ref="I60" authorId="2" shapeId="0" xr:uid="{00000000-0006-0000-0000-000009000000}">
      <text>
        <r>
          <rPr>
            <b/>
            <sz val="9"/>
            <rFont val="Tahoma"/>
            <family val="2"/>
          </rPr>
          <t>Minh Du:</t>
        </r>
        <r>
          <rPr>
            <sz val="9"/>
            <rFont val="Tahoma"/>
            <family val="2"/>
          </rPr>
          <t xml:space="preserve">
Ngày 21/12/2015 quân yêu cầu chuyển lich thu gom 1la62n/1 tháng</t>
        </r>
      </text>
    </comment>
    <comment ref="E72" authorId="1" shapeId="0" xr:uid="{00000000-0006-0000-0000-00000A000000}">
      <text>
        <r>
          <rPr>
            <b/>
            <sz val="9"/>
            <rFont val="Tahoma"/>
            <family val="2"/>
          </rPr>
          <t>user:</t>
        </r>
        <r>
          <rPr>
            <sz val="9"/>
            <rFont val="Tahoma"/>
            <family val="2"/>
          </rPr>
          <t xml:space="preserve">
3</t>
        </r>
      </text>
    </comment>
    <comment ref="R72" authorId="1" shapeId="0" xr:uid="{F57FC551-720E-4C22-91F0-DB2B084E4E7E}">
      <text>
        <r>
          <rPr>
            <b/>
            <sz val="9"/>
            <rFont val="Tahoma"/>
            <family val="2"/>
          </rPr>
          <t>user:</t>
        </r>
        <r>
          <rPr>
            <sz val="9"/>
            <rFont val="Tahoma"/>
            <family val="2"/>
          </rPr>
          <t xml:space="preserve">
3</t>
        </r>
      </text>
    </comment>
    <comment ref="E74" authorId="1" shapeId="0" xr:uid="{00000000-0006-0000-0000-00000B000000}">
      <text>
        <r>
          <rPr>
            <b/>
            <sz val="9"/>
            <rFont val="Tahoma"/>
            <family val="2"/>
          </rPr>
          <t>user:</t>
        </r>
        <r>
          <rPr>
            <sz val="9"/>
            <rFont val="Tahoma"/>
            <family val="2"/>
          </rPr>
          <t xml:space="preserve">
3</t>
        </r>
      </text>
    </comment>
    <comment ref="I74" authorId="2" shapeId="0" xr:uid="{00000000-0006-0000-0000-00000C000000}">
      <text>
        <r>
          <rPr>
            <b/>
            <sz val="13"/>
            <rFont val="Tahoma"/>
            <family val="2"/>
          </rPr>
          <t>Minh Du:</t>
        </r>
        <r>
          <rPr>
            <sz val="13"/>
            <rFont val="Tahoma"/>
            <family val="2"/>
          </rPr>
          <t xml:space="preserve">
Ngày 22/10/2015 quân  yêu cầu cho thu gom lại</t>
        </r>
      </text>
    </comment>
    <comment ref="E75" authorId="1" shapeId="0" xr:uid="{00000000-0006-0000-0000-00000D000000}">
      <text>
        <r>
          <rPr>
            <b/>
            <sz val="9"/>
            <rFont val="Tahoma"/>
            <family val="2"/>
          </rPr>
          <t>user:</t>
        </r>
        <r>
          <rPr>
            <sz val="9"/>
            <rFont val="Tahoma"/>
            <family val="2"/>
          </rPr>
          <t xml:space="preserve">
3</t>
        </r>
      </text>
    </comment>
    <comment ref="I75" authorId="2" shapeId="0" xr:uid="{00000000-0006-0000-0000-00000E000000}">
      <text>
        <r>
          <rPr>
            <b/>
            <sz val="13"/>
            <rFont val="Tahoma"/>
            <family val="2"/>
          </rPr>
          <t>Minh Du:</t>
        </r>
        <r>
          <rPr>
            <sz val="13"/>
            <rFont val="Tahoma"/>
            <family val="2"/>
          </rPr>
          <t xml:space="preserve">
Ngày 22/10/2015 quân  yêu cầu cho thu gom lại</t>
        </r>
      </text>
    </comment>
    <comment ref="J113" authorId="2" shapeId="0" xr:uid="{00000000-0006-0000-0000-00000F000000}">
      <text>
        <r>
          <rPr>
            <b/>
            <sz val="13"/>
            <rFont val="Tahoma"/>
            <family val="2"/>
          </rPr>
          <t>Minh Du:</t>
        </r>
        <r>
          <rPr>
            <sz val="13"/>
            <rFont val="Tahoma"/>
            <family val="2"/>
          </rPr>
          <t xml:space="preserve">
Ngày 19/04/2016 Long yêu cầu chuyển lịch thu gom 1 thnag1 1 lần sang 2 tháng 1 lần</t>
        </r>
      </text>
    </comment>
    <comment ref="I146" authorId="0" shapeId="0" xr:uid="{00000000-0006-0000-0000-000010000000}">
      <text>
        <r>
          <rPr>
            <b/>
            <sz val="9"/>
            <rFont val="Tahoma"/>
            <family val="2"/>
          </rPr>
          <t>Oem:</t>
        </r>
        <r>
          <rPr>
            <sz val="9"/>
            <rFont val="Tahoma"/>
            <family val="2"/>
          </rPr>
          <t xml:space="preserve">
quân báo ngưng 28
/07/2014</t>
        </r>
      </text>
    </comment>
    <comment ref="I147" authorId="0" shapeId="0" xr:uid="{00000000-0006-0000-0000-000011000000}">
      <text>
        <r>
          <rPr>
            <b/>
            <sz val="9"/>
            <rFont val="Tahoma"/>
            <family val="2"/>
          </rPr>
          <t>Oem:</t>
        </r>
        <r>
          <rPr>
            <sz val="9"/>
            <rFont val="Tahoma"/>
            <family val="2"/>
          </rPr>
          <t xml:space="preserve">
quân báo ngưng 28
/07/2014</t>
        </r>
      </text>
    </comment>
    <comment ref="I148" authorId="0" shapeId="0" xr:uid="{00000000-0006-0000-0000-000012000000}">
      <text>
        <r>
          <rPr>
            <b/>
            <sz val="9"/>
            <rFont val="Tahoma"/>
            <family val="2"/>
          </rPr>
          <t>Oem:</t>
        </r>
        <r>
          <rPr>
            <sz val="9"/>
            <rFont val="Tahoma"/>
            <family val="2"/>
          </rPr>
          <t xml:space="preserve">
quân báo ngưng 28
/07/2014</t>
        </r>
      </text>
    </comment>
    <comment ref="E169" authorId="1" shapeId="0" xr:uid="{00000000-0006-0000-0000-000013000000}">
      <text>
        <r>
          <rPr>
            <b/>
            <sz val="9"/>
            <rFont val="Tahoma"/>
            <family val="2"/>
          </rPr>
          <t>user:</t>
        </r>
        <r>
          <rPr>
            <sz val="9"/>
            <rFont val="Tahoma"/>
            <family val="2"/>
          </rPr>
          <t xml:space="preserve">
7</t>
        </r>
      </text>
    </comment>
    <comment ref="R169" authorId="1" shapeId="0" xr:uid="{1A8E8148-9863-473D-9575-AE75791679E6}">
      <text>
        <r>
          <rPr>
            <b/>
            <sz val="9"/>
            <rFont val="Tahoma"/>
            <family val="2"/>
          </rPr>
          <t>user:</t>
        </r>
        <r>
          <rPr>
            <sz val="9"/>
            <rFont val="Tahoma"/>
            <family val="2"/>
          </rPr>
          <t xml:space="preserve">
7</t>
        </r>
      </text>
    </comment>
    <comment ref="E172" authorId="1" shapeId="0" xr:uid="{00000000-0006-0000-0000-000014000000}">
      <text>
        <r>
          <rPr>
            <b/>
            <sz val="9"/>
            <rFont val="Tahoma"/>
            <family val="2"/>
          </rPr>
          <t>user:</t>
        </r>
        <r>
          <rPr>
            <sz val="9"/>
            <rFont val="Tahoma"/>
            <family val="2"/>
          </rPr>
          <t xml:space="preserve">
7</t>
        </r>
      </text>
    </comment>
    <comment ref="R172" authorId="1" shapeId="0" xr:uid="{F35EBBDF-93AB-49AA-A8A3-37BA0442D601}">
      <text>
        <r>
          <rPr>
            <b/>
            <sz val="9"/>
            <rFont val="Tahoma"/>
            <family val="2"/>
          </rPr>
          <t>user:</t>
        </r>
        <r>
          <rPr>
            <sz val="9"/>
            <rFont val="Tahoma"/>
            <family val="2"/>
          </rPr>
          <t xml:space="preserve">
7</t>
        </r>
      </text>
    </comment>
    <comment ref="E182" authorId="2" shapeId="0" xr:uid="{00000000-0006-0000-0000-000015000000}">
      <text>
        <r>
          <rPr>
            <b/>
            <sz val="9"/>
            <rFont val="Tahoma"/>
            <family val="2"/>
          </rPr>
          <t>Minh Du:</t>
        </r>
        <r>
          <rPr>
            <sz val="9"/>
            <rFont val="Tahoma"/>
            <family val="2"/>
          </rPr>
          <t xml:space="preserve">
4
</t>
        </r>
      </text>
    </comment>
    <comment ref="H182" authorId="2" shapeId="0" xr:uid="{00000000-0006-0000-0000-000016000000}">
      <text>
        <r>
          <rPr>
            <b/>
            <sz val="9"/>
            <rFont val="Tahoma"/>
            <family val="2"/>
          </rPr>
          <t>Minh Du:</t>
        </r>
        <r>
          <rPr>
            <sz val="9"/>
            <rFont val="Tahoma"/>
            <family val="2"/>
          </rPr>
          <t xml:space="preserve">
Ngày 27/07/2016. long báo ngưng thu gom</t>
        </r>
      </text>
    </comment>
    <comment ref="H183" authorId="2" shapeId="0" xr:uid="{00000000-0006-0000-0000-000017000000}">
      <text>
        <r>
          <rPr>
            <b/>
            <sz val="9"/>
            <rFont val="Tahoma"/>
            <family val="2"/>
          </rPr>
          <t>Minh Du:</t>
        </r>
        <r>
          <rPr>
            <sz val="9"/>
            <rFont val="Tahoma"/>
            <family val="2"/>
          </rPr>
          <t xml:space="preserve">
Ngày 27/07/2016. long báo ngưng thu gom</t>
        </r>
      </text>
    </comment>
    <comment ref="I203" authorId="2" shapeId="0" xr:uid="{00000000-0006-0000-0000-000018000000}">
      <text>
        <r>
          <rPr>
            <b/>
            <sz val="13"/>
            <rFont val="Tahoma"/>
            <family val="2"/>
          </rPr>
          <t>Minh Du:</t>
        </r>
        <r>
          <rPr>
            <sz val="13"/>
            <rFont val="Tahoma"/>
            <family val="2"/>
          </rPr>
          <t xml:space="preserve">
Ngày 28/11/2015 long giảm lịch thu gom 1 tháng 1 lần con 1 lần thu gom 3 tháng</t>
        </r>
      </text>
    </comment>
    <comment ref="E207" authorId="1" shapeId="0" xr:uid="{00000000-0006-0000-0000-000019000000}">
      <text>
        <r>
          <rPr>
            <b/>
            <sz val="9"/>
            <rFont val="Tahoma"/>
            <family val="2"/>
          </rPr>
          <t>user:</t>
        </r>
        <r>
          <rPr>
            <sz val="9"/>
            <rFont val="Tahoma"/>
            <family val="2"/>
          </rPr>
          <t xml:space="preserve">
4</t>
        </r>
      </text>
    </comment>
    <comment ref="R207" authorId="1" shapeId="0" xr:uid="{49857CAA-39F7-4256-A439-DCE03060F517}">
      <text>
        <r>
          <rPr>
            <b/>
            <sz val="9"/>
            <rFont val="Tahoma"/>
            <family val="2"/>
          </rPr>
          <t>user:</t>
        </r>
        <r>
          <rPr>
            <sz val="9"/>
            <rFont val="Tahoma"/>
            <family val="2"/>
          </rPr>
          <t xml:space="preserve">
4</t>
        </r>
      </text>
    </comment>
    <comment ref="I213" authorId="0" shapeId="0" xr:uid="{00000000-0006-0000-0000-00001A000000}">
      <text>
        <r>
          <rPr>
            <b/>
            <sz val="9"/>
            <rFont val="Tahoma"/>
            <family val="2"/>
          </rPr>
          <t>Oem:</t>
        </r>
        <r>
          <rPr>
            <sz val="9"/>
            <rFont val="Tahoma"/>
            <family val="2"/>
          </rPr>
          <t xml:space="preserve">
chỉnh lịch thu gom từ 3 tháng lần sang 1 tháng lần ngày 27/09/2014</t>
        </r>
      </text>
    </comment>
    <comment ref="I214" authorId="0" shapeId="0" xr:uid="{00000000-0006-0000-0000-00001B000000}">
      <text>
        <r>
          <rPr>
            <b/>
            <sz val="9"/>
            <rFont val="Tahoma"/>
            <family val="2"/>
          </rPr>
          <t>Oem:</t>
        </r>
        <r>
          <rPr>
            <sz val="9"/>
            <rFont val="Tahoma"/>
            <family val="2"/>
          </rPr>
          <t xml:space="preserve">
chỉnh lịch thu gom từ 3 tháng lần sang 1 tháng lần ngày 27/09/2014</t>
        </r>
      </text>
    </comment>
    <comment ref="H221" authorId="2" shapeId="0" xr:uid="{00000000-0006-0000-0000-00001C000000}">
      <text>
        <r>
          <rPr>
            <b/>
            <sz val="9"/>
            <rFont val="Tahoma"/>
            <family val="2"/>
          </rPr>
          <t>Minh Du:</t>
        </r>
        <r>
          <rPr>
            <sz val="9"/>
            <rFont val="Tahoma"/>
            <family val="2"/>
          </rPr>
          <t xml:space="preserve">
Ngày 13/06/2016. long boa ngưng thu gom. Do kh ko giao chất thải</t>
        </r>
      </text>
    </comment>
    <comment ref="I221" authorId="2" shapeId="0" xr:uid="{00000000-0006-0000-0000-00001D000000}">
      <text>
        <r>
          <rPr>
            <b/>
            <sz val="13"/>
            <rFont val="Tahoma"/>
            <family val="2"/>
          </rPr>
          <t>Minh Du:</t>
        </r>
        <r>
          <rPr>
            <sz val="13"/>
            <rFont val="Tahoma"/>
            <family val="2"/>
          </rPr>
          <t xml:space="preserve">
Ngày 17/11/2015 quân yêu cầu chuyển lich thu gom cố định sang yêu cầu.</t>
        </r>
      </text>
    </comment>
    <comment ref="I222" authorId="0" shapeId="0" xr:uid="{00000000-0006-0000-0000-00001E000000}">
      <text>
        <r>
          <rPr>
            <b/>
            <sz val="9"/>
            <rFont val="Tahoma"/>
            <family val="2"/>
          </rPr>
          <t>Oem:</t>
        </r>
        <r>
          <rPr>
            <sz val="9"/>
            <rFont val="Tahoma"/>
            <family val="2"/>
          </rPr>
          <t xml:space="preserve">
lấy tháng 8, nên tháng 09 ko lấy.</t>
        </r>
      </text>
    </comment>
    <comment ref="I230" authorId="2" shapeId="0" xr:uid="{00000000-0006-0000-0000-00001F000000}">
      <text>
        <r>
          <rPr>
            <b/>
            <sz val="9"/>
            <rFont val="Tahoma"/>
            <family val="2"/>
          </rPr>
          <t>Minh Du:</t>
        </r>
        <r>
          <rPr>
            <sz val="9"/>
            <rFont val="Tahoma"/>
            <family val="2"/>
          </rPr>
          <t xml:space="preserve">
Ngày 14/09/2016. mới ký hđ thay đổi lịch 1 tháng/lần thành 1 lần /2 tháng</t>
        </r>
      </text>
    </comment>
    <comment ref="I289" authorId="2" shapeId="0" xr:uid="{00000000-0006-0000-0000-000020000000}">
      <text>
        <r>
          <rPr>
            <b/>
            <sz val="9"/>
            <rFont val="Tahoma"/>
            <family val="2"/>
          </rPr>
          <t>Minh Du:</t>
        </r>
        <r>
          <rPr>
            <sz val="9"/>
            <rFont val="Tahoma"/>
            <family val="2"/>
          </rPr>
          <t xml:space="preserve">
ngày 11/05/2015, quân báo ngưng do cty ko hoạt động</t>
        </r>
      </text>
    </comment>
    <comment ref="I290" authorId="2" shapeId="0" xr:uid="{00000000-0006-0000-0000-000021000000}">
      <text>
        <r>
          <rPr>
            <b/>
            <sz val="9"/>
            <rFont val="Tahoma"/>
            <family val="2"/>
          </rPr>
          <t>Minh Du:</t>
        </r>
        <r>
          <rPr>
            <sz val="9"/>
            <rFont val="Tahoma"/>
            <family val="2"/>
          </rPr>
          <t xml:space="preserve">
ngày 11/05/2015, quân báo ngưng do cty ko hoạt động</t>
        </r>
      </text>
    </comment>
    <comment ref="H295" authorId="0" shapeId="0" xr:uid="{00000000-0006-0000-0000-000022000000}">
      <text>
        <r>
          <rPr>
            <b/>
            <sz val="9"/>
            <rFont val="Tahoma"/>
            <family val="2"/>
          </rPr>
          <t>Oem:</t>
        </r>
        <r>
          <rPr>
            <sz val="9"/>
            <rFont val="Tahoma"/>
            <family val="2"/>
          </rPr>
          <t xml:space="preserve">
a danh yêu cầu cho thu gom trở lại 01/12/2014</t>
        </r>
      </text>
    </comment>
    <comment ref="I295" authorId="2" shapeId="0" xr:uid="{00000000-0006-0000-0000-000023000000}">
      <text>
        <r>
          <rPr>
            <b/>
            <sz val="9"/>
            <rFont val="Tahoma"/>
            <family val="2"/>
          </rPr>
          <t>Minh Du:</t>
        </r>
        <r>
          <rPr>
            <sz val="9"/>
            <rFont val="Tahoma"/>
            <family val="2"/>
          </rPr>
          <t xml:space="preserve">
chí báo ngưng do không trả tiền
</t>
        </r>
      </text>
    </comment>
    <comment ref="H296" authorId="0" shapeId="0" xr:uid="{00000000-0006-0000-0000-000024000000}">
      <text>
        <r>
          <rPr>
            <b/>
            <sz val="9"/>
            <rFont val="Tahoma"/>
            <family val="2"/>
          </rPr>
          <t>Oem:</t>
        </r>
        <r>
          <rPr>
            <sz val="9"/>
            <rFont val="Tahoma"/>
            <family val="2"/>
          </rPr>
          <t xml:space="preserve">
a danh yêu cầu cho thu gom trở lại 01/12/2014</t>
        </r>
      </text>
    </comment>
    <comment ref="I296" authorId="2" shapeId="0" xr:uid="{00000000-0006-0000-0000-000025000000}">
      <text>
        <r>
          <rPr>
            <b/>
            <sz val="9"/>
            <rFont val="Tahoma"/>
            <family val="2"/>
          </rPr>
          <t>Minh Du:</t>
        </r>
        <r>
          <rPr>
            <sz val="9"/>
            <rFont val="Tahoma"/>
            <family val="2"/>
          </rPr>
          <t xml:space="preserve">
chí báo ngưng do không trả tiền
</t>
        </r>
      </text>
    </comment>
    <comment ref="H298" authorId="0" shapeId="0" xr:uid="{00000000-0006-0000-0000-000026000000}">
      <text>
        <r>
          <rPr>
            <b/>
            <sz val="9"/>
            <rFont val="Tahoma"/>
            <family val="2"/>
          </rPr>
          <t>Oem:</t>
        </r>
        <r>
          <rPr>
            <sz val="9"/>
            <rFont val="Tahoma"/>
            <family val="2"/>
          </rPr>
          <t xml:space="preserve">
a danh yêu cầu cho thu gom trở lại 01/12/2014</t>
        </r>
      </text>
    </comment>
    <comment ref="I298" authorId="2" shapeId="0" xr:uid="{00000000-0006-0000-0000-000027000000}">
      <text>
        <r>
          <rPr>
            <b/>
            <sz val="9"/>
            <rFont val="Tahoma"/>
            <family val="2"/>
          </rPr>
          <t>Minh Du:</t>
        </r>
        <r>
          <rPr>
            <sz val="9"/>
            <rFont val="Tahoma"/>
            <family val="2"/>
          </rPr>
          <t xml:space="preserve">
chí báo ngưng do không trả tiền
</t>
        </r>
      </text>
    </comment>
    <comment ref="H299" authorId="0" shapeId="0" xr:uid="{00000000-0006-0000-0000-000028000000}">
      <text>
        <r>
          <rPr>
            <b/>
            <sz val="9"/>
            <rFont val="Tahoma"/>
            <family val="2"/>
          </rPr>
          <t>Oem:</t>
        </r>
        <r>
          <rPr>
            <sz val="9"/>
            <rFont val="Tahoma"/>
            <family val="2"/>
          </rPr>
          <t xml:space="preserve">
a danh yêu cầu cho thu gom trở lại 01/12/2014</t>
        </r>
      </text>
    </comment>
    <comment ref="H300" authorId="0" shapeId="0" xr:uid="{00000000-0006-0000-0000-000029000000}">
      <text>
        <r>
          <rPr>
            <b/>
            <sz val="9"/>
            <rFont val="Tahoma"/>
            <family val="2"/>
          </rPr>
          <t>Oem:</t>
        </r>
        <r>
          <rPr>
            <sz val="9"/>
            <rFont val="Tahoma"/>
            <family val="2"/>
          </rPr>
          <t xml:space="preserve">
a danh yêu cầu cho thu gom trở lại 01/12/2014</t>
        </r>
      </text>
    </comment>
    <comment ref="I300" authorId="2" shapeId="0" xr:uid="{00000000-0006-0000-0000-00002A000000}">
      <text>
        <r>
          <rPr>
            <b/>
            <sz val="9"/>
            <rFont val="Tahoma"/>
            <family val="2"/>
          </rPr>
          <t>Minh Du:</t>
        </r>
        <r>
          <rPr>
            <sz val="9"/>
            <rFont val="Tahoma"/>
            <family val="2"/>
          </rPr>
          <t xml:space="preserve">
Ngày 25/10/2016. long yêu cầu giảm lịch thu gom. </t>
        </r>
      </text>
    </comment>
    <comment ref="I301" authorId="2" shapeId="0" xr:uid="{00000000-0006-0000-0000-00002B000000}">
      <text>
        <r>
          <rPr>
            <b/>
            <sz val="9"/>
            <rFont val="Tahoma"/>
            <family val="2"/>
          </rPr>
          <t>Minh Du:</t>
        </r>
        <r>
          <rPr>
            <sz val="9"/>
            <rFont val="Tahoma"/>
            <family val="2"/>
          </rPr>
          <t xml:space="preserve">
Ngày 25/10/2016. long yêu cầu giảm lịch thu gom. </t>
        </r>
      </text>
    </comment>
    <comment ref="R365" authorId="1" shapeId="0" xr:uid="{F1686113-7EB1-4ADE-B040-24CD42BA2BBC}">
      <text>
        <r>
          <rPr>
            <b/>
            <sz val="9"/>
            <rFont val="Tahoma"/>
            <family val="2"/>
          </rPr>
          <t>user:</t>
        </r>
        <r>
          <rPr>
            <sz val="9"/>
            <rFont val="Tahoma"/>
            <family val="2"/>
          </rPr>
          <t xml:space="preserve">
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Du</author>
    <author>Minh Du</author>
  </authors>
  <commentList>
    <comment ref="H84" authorId="0" shapeId="0" xr:uid="{00000000-0006-0000-0100-000001000000}">
      <text>
        <r>
          <rPr>
            <b/>
            <sz val="8"/>
            <rFont val="Tahoma"/>
            <family val="2"/>
          </rPr>
          <t>Du:</t>
        </r>
        <r>
          <rPr>
            <sz val="8"/>
            <rFont val="Tahoma"/>
            <family val="2"/>
          </rPr>
          <t xml:space="preserve">
09/05/2013 chi yêu cầu cho lấy lại
</t>
        </r>
      </text>
    </comment>
    <comment ref="B89" authorId="1" shapeId="0" xr:uid="{00000000-0006-0000-0100-000002000000}">
      <text>
        <r>
          <rPr>
            <b/>
            <sz val="9"/>
            <rFont val="Tahoma"/>
            <family val="2"/>
          </rPr>
          <t>Minh Du:</t>
        </r>
        <r>
          <rPr>
            <sz val="9"/>
            <rFont val="Tahoma"/>
            <family val="2"/>
          </rPr>
          <t xml:space="preserve">
đề nghị chuyển theo lịch cố định
</t>
        </r>
      </text>
    </comment>
  </commentList>
</comments>
</file>

<file path=xl/sharedStrings.xml><?xml version="1.0" encoding="utf-8"?>
<sst xmlns="http://schemas.openxmlformats.org/spreadsheetml/2006/main" count="7175" uniqueCount="3482">
  <si>
    <t>LỊCH THU GOM CHẤT THẢI NGUY HẠI (khu vực Tân Uyên)</t>
  </si>
  <si>
    <t>05 01 01</t>
  </si>
  <si>
    <t>13 01 05</t>
  </si>
  <si>
    <t>13 02 04</t>
  </si>
  <si>
    <t>STT</t>
  </si>
  <si>
    <t>Tên Công Ty</t>
  </si>
  <si>
    <t>Địa chỉ</t>
  </si>
  <si>
    <t>Thành Phần chất thải</t>
  </si>
  <si>
    <t>Thứ</t>
  </si>
  <si>
    <t>Tuần</t>
  </si>
  <si>
    <t>Giờ vào</t>
  </si>
  <si>
    <t>Khách hàng
 ký xác nhận</t>
  </si>
  <si>
    <t>Số 
Điện Thoại</t>
  </si>
  <si>
    <t>Thu Gom</t>
  </si>
  <si>
    <t>Ngưng</t>
  </si>
  <si>
    <t>Hàng 
Tuần</t>
  </si>
  <si>
    <t>Ok HĐ</t>
  </si>
  <si>
    <t>Theo Yêu cầu</t>
  </si>
  <si>
    <t xml:space="preserve">Ký lại
</t>
  </si>
  <si>
    <t>01 lần/tháng</t>
  </si>
  <si>
    <t>02743,990,977</t>
  </si>
  <si>
    <t>20/12/23</t>
  </si>
  <si>
    <t>số 192/3B, tổ 5, KP Bình Chánh, P Khánh Bình, TX Tân Uyên, Bình Dương, VN
địa chỉ thu gom: mỏ sát gạch ngói Tân Bình 4, Xã tân Bình, Huyện Bắc Tân Uyên, Tỉnh Bình Dương</t>
  </si>
  <si>
    <t>1 - Hộp mực in có các thành phần nguy hại 08 02 04
2 - Bóng đèn huỳnh quang thải 16 01 06
3 - Các loại dầu động cơ, hộp số và bôi trơn thải 17 02 04
4 - Bao bì cứng bằng kim laoi5 18 01 02
5 - Chất hấp thụ, vật liệu lộc, giẻ lau 18 02 01
6 - Bao bì cứng bằng nhựa thải 18 01 03
7 - Pin, ắc quy chì thải 19 06 01</t>
  </si>
  <si>
    <t>0968,791,212</t>
  </si>
  <si>
    <t>20/03/24</t>
  </si>
  <si>
    <t>Lô 1C3 Đường CN8, KCN Tân Bình, Xã Hưng Hòa, Huyện Bàu Bàng, Tỉnh Bình Dương, VN</t>
  </si>
  <si>
    <t>1 - Cặn sơn, sơn và vec ni thải có dung môi hữu cơ 08 01 01 ( Rắn Lỏng)
2 - Hộp mực in thải 08 02 04 ( Rắn )
3 - Bóng đèn huỳnh quang thải 16 01 06 ( Rắn )
4 - Các loại dầu động cơ, hộp số và bôi trơn thải 17 02 04 (Lỏng)
5 - Chất hấp thụ, vật liệu lộc, giẻ lau 18 02 01 ( Rắn )
6 - Pin, ắc quy chì thải 19 06 01 ( Rắn )
7 - Keo thải 08 03 01 ( Rắn Lỏng)
8 - Bao bì mền thải 18 01 01 ( Rắn )
9 - Bao bì cứng bằng kim loại 18 01 02 ( Rắn )
10 - Bao bì cứng bằng nhựa 18 01 03 ( Rắn )
11 - Mực in thải có các thành phần nguy hại 08 02 01 ( Rắn Lỏng)</t>
  </si>
  <si>
    <t>0086130.58521703</t>
  </si>
  <si>
    <t>Lô 1E4, 1E5, Đường CN8 &amp; CN10, KCN Tân Bình, Xã Tân Bình, Huyện Bắc tân Uyên, BD, VN</t>
  </si>
  <si>
    <t>1 - Axit tây thải 07 01 01 ( Lỏng)
2 - Bazơ tây thải 07 01 03  ( Lỏng)
3 - Bùn thải từ qua trình phót phát 07 01 04 ( Bùn )
4 - Bùn thải và bả lộc 07 01 05 ( Bùn )
5 - Chất thải có các thành phần nguy hại 07 01 06 ( Lỏng)
6 - Dầu tổng hơp thải từ qua trình gia công tạo hình 07 03 05( Lỏng)
7 - Các vật liệu mài dạng hạt 07 03 08 ( rắn)
8 - Bùn thải nghiền mài 07 03 09 ( Bùn )
9 - Vật thể dùng để mài đã qua sử dụng có các thành phần nguy hại 07 03 09( rắn)
10 - Phoi từ qua trình gia công tạo hình 07 03 11( rắn)
11 - Cặn sơn, sơn và vecni thải 08 01 01 ( rắn)
12 - Bùn thải lẩn sơn 08 01 02 ( Bùn )
13 - Hộp mực in tahi3 08 02 04  ( rắn)
14 - Chất kết dính và chất bịt kín 08 03 01 ( rắn)
15 - Bóng đèn huỳnh quang tahi3 16 01 06 ( rắn)
16 - Dầu thủy lực thải 17 01 06 ( Lỏng)
17 - Các loại dầu động cơ, hộp số và bôi trơn thải 17 02 04 ( Lỏng)
18 - Dung môi thải 17 08 03 ( Lỏng)
19 - Bao bì cứng bằng kim loại 18 01 02 rắn)
20 - Bao bì cứng bằng nhau75 18 01 03 rắn)
21 - Chất hấp thụ, giẻ lau 18 02 01 rắn)
22 - Pin, ắc quy chì thải 19 06 01 rắn)
23 - Các chất thải khác có các thành phần nguy hại 19 12 03 rắn)</t>
  </si>
  <si>
    <t>0933,188,818</t>
  </si>
  <si>
    <t>Lô 1C9 và lô 1C10 đường CN8 và CN11, KCN tân Bình, Xã Tân Bình, Huyện Bắc Tân Uyên, BD</t>
  </si>
  <si>
    <t>02743,800,726</t>
  </si>
  <si>
    <t>20/09/2024</t>
  </si>
  <si>
    <t>Lô 1 G6-1G7-1G8, đường CN2-CN9, KCN Tân Bình, Thị Trấn Tân Bình, B.Tân Uyên, BD</t>
  </si>
  <si>
    <t>02743,878,666</t>
  </si>
  <si>
    <t>06503.653.289
0121,222,6446</t>
  </si>
  <si>
    <t>28/01/2022</t>
  </si>
  <si>
    <t>06503.801.040</t>
  </si>
  <si>
    <t>Ok HĐ
Khách hàng, báo ngưng thu gom
07/05/2020
Ngày 07/01/2021, đức yêu cầu thu gom lại</t>
  </si>
  <si>
    <t>06503652738</t>
  </si>
  <si>
    <t>20/10/23</t>
  </si>
  <si>
    <t>Ký lại</t>
  </si>
  <si>
    <t>06503.610.600</t>
  </si>
  <si>
    <t>21/06/2022</t>
  </si>
  <si>
    <t>20/05/2024</t>
  </si>
  <si>
    <t>còn</t>
  </si>
  <si>
    <t>Ấp 3B, xã Khánh Bình, Tân Uyên, BD</t>
  </si>
  <si>
    <t>1 - Thùng đựng keo, dầu nhớt dung môi 18 01 02
2 - Giẻ lau dính sơn, dầu nhớt 18 02 01
3 - Bóng đèn huỳnh quang 16 01 06
4 - Dầu nhớt thải 17 02 04
5 - Pin, ắc quy 19 06 01
6 - Hộp mực in 08 02 04
7 - Sơn thải 08 01 01
8 - Dung môi 17 08 03</t>
  </si>
  <si>
    <t xml:space="preserve">ký mới
</t>
  </si>
  <si>
    <t xml:space="preserve">01 lần/tháng
</t>
  </si>
  <si>
    <t>Khu phố Hóa Nhựt, Phường Tân Vĩnh Hiệp,Thị Xã Tân Uyên, BD</t>
  </si>
  <si>
    <t>1- Giẻ lau, vật liệu lộc, giẻ lau 18 02 01 
 2- Bao bì cứng bằng nhựa 18 01 03
 3- Bóng đèn và các loại thủy tinh 16 01 06
 4- Bao bì mền  dính hóa chất thải 18 01 01
5- Hóa chất tổng hợp thảii 19 05 04
6 - Pin, ắc quy chì thải 19 06 01
97- Chất kết dính, chất bịt kín thải có dung môi hữu cơ hoặc các thành phần nguy hại khác  08 03 01
18- Hộp mực in thải khác có các tp nguy hại 08 02 04
9- Dầu nhớt thải 17 02 04
10 - Dung môi thải 17 08 03
11- Chát thải tiwf quá trình cạo bóc tách sơn hoặc vecni có dung môi hữu cơ hoặc các thành phần nguy hại 08 01 01 ( rắn)
12- Bùn thải từ quá trình xử lý nước thải công nghiệp 12 06 05 (bùn)
13- Bao bì cứng bằng kim loại 18 01 02 (rắn)</t>
  </si>
  <si>
    <t xml:space="preserve">ký lại </t>
  </si>
  <si>
    <t>theo yêu cầu</t>
  </si>
  <si>
    <t>06503.631.031</t>
  </si>
  <si>
    <t>26/07/2022</t>
  </si>
  <si>
    <t>20/06/2024</t>
  </si>
  <si>
    <t>1 xe</t>
  </si>
  <si>
    <t>Ấp Hóa Nhựt, Tân Vĩnh Hiệp, Tân Uyên, BD</t>
  </si>
  <si>
    <t>1 - Thùng dính dầu nhớt, keo bằng kim loại 18 01 02
2 - Thùng nhựa dính tp nguy hại 18 01 03
3 - Giẻ lau, bao tay dính keo, dính tp nguy hại 18 02 01
4 - Pin, ắc quy chì thải 19 06 01
5 - Dầu nhớt thải 17 02 04
6 - Hộp mực máy in, photo 08 02 04
7 - Bóng đèn huỳnh quang thải 16 01 06
8 - Keo thải 08 03 01
9 - Dung môi thải 17 08 03</t>
  </si>
  <si>
    <t>20/08/22</t>
  </si>
  <si>
    <t>Tháng 10 hết hđ k gom</t>
  </si>
  <si>
    <t>KP Ông Đông, Phường Tân Hiệp, TX Tân Uyên, Tỉnh Bình Dương</t>
  </si>
  <si>
    <t>1 - Các Loại dung dịch và axit thải 02 01 06
2 - Hộp mực in chứa thành phần nguy hại 08 02 04
3 - Bùn thải có các thành phần nguy hại 12 06 06
4 - Dầu động cơ, hộp số và bôi trơn thải 17 02 04
5 - Các loại dầu thải khác 17 07 03
6 - Bao bì mền thải 18 01 01
7 - Bao bí cứng thải bằng kim loại 18 01 02
8 - Bao bì cứng bằng nhựa 18 01 03
9 - Chất hấp thụ, vật liệu lộc, giẻ lau 18 02 01
10 - Keo thái 08 03 01
11 - Hóa chất và hỗn hợp hóa chất phòng thí nghiệm 19 05 02
12 - Hóa chất vô cơ thải 19 05 04
13 - Hóa chất hữu cơ thải 19 05 04
14 - Pin, ắc quy chì thải  19 06 01
15 - Các loại chất thải khác có các thành phần nguy hại 19 12 02
16- Nhựa thải dính thành phần nguy hại 12 02 01 (rắn)</t>
  </si>
  <si>
    <t>Ký mới
01/08/2012</t>
  </si>
  <si>
    <t>06503625603
0933,686,792
Long</t>
  </si>
  <si>
    <t>16/06/2022</t>
  </si>
  <si>
    <t>20/03/2024</t>
  </si>
  <si>
    <t>Thùng</t>
  </si>
  <si>
    <t>29/12/2021</t>
  </si>
  <si>
    <t>20/09/22</t>
  </si>
  <si>
    <t>Số 2, Đường 18, KCN Vsip2, Tân Uyên , BD</t>
  </si>
  <si>
    <t xml:space="preserve">1 - Bóng đèn huỳnh quang thải 16 01 06
2 - Dầu nhớt thải 17 02 04
3 - Giẻ lau, găng tay dính dầu nhớt 18 02 01
4 - Hộp mực in thải 08 02 04
5 -Bao bì mền đựng hóa chất 18 01 01
6 - Pin, ắc quy chì thải 19 06 01
7 - Mực in, bề mặt lon, 08 02 01
8 - Dầu bôi trơn cổ lon thải 17 02 03
9 -Dung môi thải, các loại chất thải chứa dung môi 17 08 03
10 - Cặn sơn, sơn, vecni thải 08 01 01
11 -Bùn từ hệ thống xử lý nước thải 12 06 06
12 - Thùng kim loại đựng hóa chất 18 01 02
13 - Mút xốp
14 - Kính, chai thủy tinh </t>
  </si>
  <si>
    <t>06502221081</t>
  </si>
  <si>
    <t>23/11/2021</t>
  </si>
  <si>
    <t>Ok HĐ
HĐHH
12/2020</t>
  </si>
  <si>
    <t xml:space="preserve">Ký mới 
</t>
  </si>
  <si>
    <t>06/10/2022</t>
  </si>
  <si>
    <t>20/09/2025</t>
  </si>
  <si>
    <t xml:space="preserve">Ký mới
</t>
  </si>
  <si>
    <t>29/11/2021</t>
  </si>
  <si>
    <t>Ok HĐ
Ngày 20/04/2020, nghĩa báo ngưng thu gom</t>
  </si>
  <si>
    <t>3652924-28</t>
  </si>
  <si>
    <t>1
3</t>
  </si>
  <si>
    <t>Ok HĐ
HDHH
01/2020
Long báo ngưng 09/04/2020</t>
  </si>
  <si>
    <t>2 lần/tháng</t>
  </si>
  <si>
    <t>20/12/2023</t>
  </si>
  <si>
    <t>cẩu</t>
  </si>
  <si>
    <t>02743,712,335</t>
  </si>
  <si>
    <t>24/05/2022</t>
  </si>
  <si>
    <t>20/04/2024</t>
  </si>
  <si>
    <t xml:space="preserve">
06503.610.613</t>
  </si>
  <si>
    <t>Đường ĐT 746, KP  Bình Khánh, Xã Khánh Bình, Tân Uyên, BD</t>
  </si>
  <si>
    <t>06503.652.658</t>
  </si>
  <si>
    <t>Ký mới</t>
  </si>
  <si>
    <t>02743.639.433</t>
  </si>
  <si>
    <t>thửa đất số 104, tờ bản đồ số 11, KP Ba Tri, Phường tân Hiệp, TX tân Uyên, Bình Dương, VN</t>
  </si>
  <si>
    <t xml:space="preserve">1 - Bóng đèn huỳnh quang thải 16 01 06
2 - Hộp mực in thải 08 02 04
3 - Giẻ lau, bao tay dính dầu nhớt thải 18 02 01
4 - Dầu nhớt thải 17 02 04
5 - Pin, ắc quy chì thải 19 06 01
6 - Xỉ sắt </t>
  </si>
  <si>
    <t>0913,259,556</t>
  </si>
  <si>
    <t>20/09/23</t>
  </si>
  <si>
    <t>khu phố Bình Khánh,phường Khánh Bình, T.Uyên, BD</t>
  </si>
  <si>
    <t>1 - Dầu nhớt thải 17 02 04
2 - Bóng đèn huỳnh quang thải 16 01 06
3 - Hộp mực in thải 08 02 04
4 - Pin, ắc quy chì thải 16 06 01
5 - Giẻ lau bị nhiễm thành phần nguy hại 18 02 01
6 - Thùng kim loại đựng dầu nhớt, sơn, dung môi 18 01 02
7 - Cặn sơn thải 07 01 01
8 - Keo thải 08 03 01
9 - Dung môi thải 17 08 03
10 - Chất hấp thụ vật liệu lộc 18 02 01
11 - Thùng nhựa dính dầu chuối 18 01 03</t>
  </si>
  <si>
    <t>06503.652.521
0989.270.055</t>
  </si>
  <si>
    <t>20/09/2023</t>
  </si>
  <si>
    <t>Thửa đất số 1018, tờ bản đồ số 29, KP Bình Khánh, Phường Khánh Bình, Tân Uyên, Bình Dương</t>
  </si>
  <si>
    <t>02743,639,220</t>
  </si>
  <si>
    <t>21/07/23</t>
  </si>
  <si>
    <t>Ok HĐ
HĐHH
Tháng 01/2020</t>
  </si>
  <si>
    <t>HDHH Tháng
 09/2018</t>
  </si>
  <si>
    <t>06503.655.235
'01683068779</t>
  </si>
  <si>
    <t>số 77, tổ 5, ấp Tân Hóa, Tân Vĩnh Hiệp, Tân uyên, BD</t>
  </si>
  <si>
    <t>1 - Bóng đèn huỳnh quang thải 16 01 06
2 - Hộp mực in thải 08 02 04
3 - Pin, ắc quy chì thải 19 06 01
4 - Dầu nhớt thải 17 02 04
5 - Giẻ lau dính dầu nhớt 18 02 01
6 - Thùng kim loại dính dầu nhớt 18 01 02
7 - Bao bì mềm dính thành phần nguy hại 18 01 01
8 - Cặn sơn thải 08 01 01</t>
  </si>
  <si>
    <t>Ký lại
Ngày 06/09/2021, Danh báo ngưng thu gom
4</t>
  </si>
  <si>
    <t>06503.632.135</t>
  </si>
  <si>
    <t>234E, KP Phú Trung, Phường Phú Chánh, Tân Uyên, BD</t>
  </si>
  <si>
    <t>06503839898</t>
  </si>
  <si>
    <t>20/11/23</t>
  </si>
  <si>
    <t>xe bồn</t>
  </si>
  <si>
    <t>06503.728.708</t>
  </si>
  <si>
    <t>Ok HĐ
Long báo ngưng 09/04/2020</t>
  </si>
  <si>
    <t>KP Bình Hòa 1, TT Tân Phước Khánh, TU, BD</t>
  </si>
  <si>
    <t>1 - Bóng đèn huỳnh quang thải 16 01 06
2 - Pin, ắc quy chì thải 19 06 01
3 - Hộp mực in thải 08 02 04
4 - Giẻ lau, bao tay dính thành phần nguy hại 18 02 01
5 - Bao bì mến dính thành phần nguy hại 18 01 01
6 - Bao bì cứng bằng kim loại có dính dầu nhớt, sơn, dung môi 18 01 02
7 - Bao bì cứng bằng nhựa dính keo 18 01 03
8 - Dung môi thải 17 08 03
9 - Cặn sơn 08 01 01
10 - Keo, bột trét thải 08 03 01
11 - Dầu nhớt thải 17 02 04</t>
  </si>
  <si>
    <t xml:space="preserve">Ký lại
HĐHH
04/2021
Đức yêu cầu thu gom lại
</t>
  </si>
  <si>
    <t>06503.612.090</t>
  </si>
  <si>
    <t>Ok HĐ
HĐHH
15/04/2020</t>
  </si>
  <si>
    <t>HHHĐ</t>
  </si>
  <si>
    <t>Lô 9-2, Cụm CN TP Đẹp, KP Ông Đông, Tân Hiệp, TX Tân Uyên, BD</t>
  </si>
  <si>
    <t>06503.648.755</t>
  </si>
  <si>
    <t>27/06/2022</t>
  </si>
  <si>
    <t>06503,655,969</t>
  </si>
  <si>
    <t>đường ĐH 423, KP Tân Bình, Tân hiệp, Tân uyên, BD</t>
  </si>
  <si>
    <t>1 - Bóng đèn huỳnh qaung thải 16 01 06
2 - Hộp mực in thải 08 02 04
3 - Dầu nhớt thải 17 02 04
4 - Pin, ắc quy chì thải 19 06 01
5 - Thùng bằng kim loại 18 01 02
6 - Bao bì mến dính thành phần nguy hại 18 01 01
7 - Giẻ lau nhiễm dầu nhớt 18 02 01
8 - Phế liệu kim loại nhiễm thành phần nguy hại 11 04 01</t>
  </si>
  <si>
    <t>Ký mới
28/07/2014</t>
  </si>
  <si>
    <t>06503.655.061</t>
  </si>
  <si>
    <t>20/07/2022</t>
  </si>
  <si>
    <t>06503.632.056
0914.484.146</t>
  </si>
  <si>
    <t>số 23, tổ 6, ấp Hóa Nhựt, Xã tân Vĩnh Hiệp, TX Tân Uyên, Bình Dương</t>
  </si>
  <si>
    <t>1 - Giẻ lau dính thành phần nguy hại 18 02 01</t>
  </si>
  <si>
    <t>20/07/23</t>
  </si>
  <si>
    <t>06502.220.233</t>
  </si>
  <si>
    <t xml:space="preserve">01 lần/1tháng
</t>
  </si>
  <si>
    <t>Nước thải từ qua trình rửa máng khuôn bản in 08 02 01</t>
  </si>
  <si>
    <t>Số 8 Vsip II-A, Đường Hòa Bình, KCN Việt Nam – Singapore II-A, Phường Vĩnh Tân, Thị Xã Tân Uyên, Tỉnh Bình Dương, Việt Nam.</t>
  </si>
  <si>
    <t>1 lần / 6 tháng
8/2022,2/2023</t>
  </si>
  <si>
    <t>1 - Bóng đèn huỳnh quang thải 16 01 06
2 - Dầu động cơ, bôi trơn động cơ thải 17 02 03
3 - Hộp mực in thải 08 02 04
4 - Giẻ lau dính dầu 18 02 01
5 - Thùng nhựa chứa, bao bì mến thải có chứa hoăc nhiễm thành phần nguy hại 18 01 01
6 - Keo thải 08 03 01
7 - Mực in thải 08 02 01
8 - Bùn mực in thải 08 02 02
9 - Dầu mỡ thải 17 02 04
10 - Bao bì mền thải chứa hoăc nhiễm các thành phần nguy hại 18 01 01
11 - Bao bì cứng bằng kim loại 18 01 02
12 - bao bì cứng bằng nhựa 18 01 03</t>
  </si>
  <si>
    <t>06503.612.291
Chi Linh</t>
  </si>
  <si>
    <t>Số 1325/E, Khu 6, Hóa Nhựt, Tân Vĩnh Hiệp, Tân Uyên, BD</t>
  </si>
  <si>
    <t>1 - Dầu động cơ, hộp số và bôi trơn tổng hợp thải 17 02 03
2 - Giẻ lau, bao tay dính hóa chất, dầu nhớt thải 18 02 01
3 - Pin, ắc quy chì thải 19 06 01
4 - Bóng đèn huỳnh quang thải và các loại thủy tinh hoạt tính 16 01 06
5 - Hộp mực in thải có các tp nguy hại 08 02 04
6 - Bao bì cứng bằng nhựa 18 01 03</t>
  </si>
  <si>
    <t>06503.659.152</t>
  </si>
  <si>
    <t>30/09/2022</t>
  </si>
  <si>
    <t>20/08/2024</t>
  </si>
  <si>
    <t>Tháng 9  hết hd k thu gom</t>
  </si>
  <si>
    <t>1 - Thùng đựng xăng, dầu nhớt nhớt bôi trơn, boa bì đựng sơn 18 01 01
2 - Giẻ lau dính dung môi, dầu nhớt 18 02 01
3 - Dầu chuối thải 17 08 03
4 - Dầu nhớt thải 17 02 04
5 - Cặn sơn thải 08 01 02
6 - Keo thải 08 03 01
7 - Dung môi thải 17 08 03
8 - Pin, ắc quy chì thải 19 01 06
9 - Bóng đèn huỳnh quang thải 16 01 06
10 - Hộp mực in thải 08 02 04</t>
  </si>
  <si>
    <t>06503.610.120</t>
  </si>
  <si>
    <t>số 52/2, tổ 2, KP Bình Hòa, P Tân Phước Khánh, Tân Uyên, Bình Dương</t>
  </si>
  <si>
    <t xml:space="preserve">1 - Bao bì mền thải đựng hóa chất, mực in 18 01 01
2 - Giẻ lau, bao tay dính dầu nhớt, hóa chất 18 02 01
3 - Dầu nhớt thải 17 02 03
4 - Bóng đèn huỳnh quang thải và các chất thải chứa thành phần nguy hại 16 01 06
5 - Pin, ắc quy chì thải 19 06 01
6 - Hộp mực in thải co1 chứa các thành phần nguy hại 08 02 04
7 - Mực in thải có các thành phần nguy hại 08 02 01
8 - Dung môi, hóa chất 17 08 03
9 - Bao bì cứng bằng nhựa đựng hóa chất, mực in, dung môi 18 01 03
</t>
  </si>
  <si>
    <t>06503.612.547</t>
  </si>
  <si>
    <t>Thửa đất số 726, tờ bản đồ số 28, KP Tân Bình, P Tân Hiệp, Tân Uyên, Bình Dương</t>
  </si>
  <si>
    <t>1 - Hộp mực in thải 08 02 04
2 - Bóng đèn huỳnh quang thải 16 01 06
3 - Các loại dầu động cơ, hộp số và bôi trơn thải 17 02 04
4 - Bao bì cứng bằng nhựa 18 01 03
5 - Chất hấp thụ, vật liệu lộc, giẻ lau 18 02 01
6 - Dung môi thải 17 08 03
7 - Pin, ắc quy chì thải 19 06 01
8 - Bao bì mền thải 18 01 01
9 - Bao bì cứng bằng kim loại 18 01 02
10 - Cặn sơn, sơn và vecni thải 08 01 01
11 - Keo thải 08 03 01</t>
  </si>
  <si>
    <t>0338,253,088</t>
  </si>
  <si>
    <t>17/05/2022</t>
  </si>
  <si>
    <t>20/04/24</t>
  </si>
  <si>
    <t>02743,860,758</t>
  </si>
  <si>
    <t>Lô G4, G5 Và G6, Đường N5 và D4, KCN Nam Tân Uyên Mở Rộng, TX Tân Uyên, Bình Dương</t>
  </si>
  <si>
    <t>02743,763,627</t>
  </si>
  <si>
    <t>Lô B3 và B4, Đường N5, KCN Nam Tân Uyên Mở Rộng, Phường Uyên Hưng, TX tân Uyên, Bình Dương</t>
  </si>
  <si>
    <t>02743,613,598</t>
  </si>
  <si>
    <t xml:space="preserve"> </t>
  </si>
  <si>
    <t>Ký mới
HĐHH
9/2020</t>
  </si>
  <si>
    <t>06502.220.766</t>
  </si>
  <si>
    <t>Cẩu</t>
  </si>
  <si>
    <t>Số 10 , Vsip 2A, đường số 18, KCN Việt Nam Singapore II-A, thị xã Tân Uyên, tỉnh Bình Dương</t>
  </si>
  <si>
    <t>15/07/2022</t>
  </si>
  <si>
    <t>ok</t>
  </si>
  <si>
    <t>1 - Bóng đèn huỳnh quang thải 16 01 06
2 - Giẻ lau, bao tay dính dầu nhớt, sơn, dung môi 18 02 01
3 - Pin, ắc quy chì thải 19 06 01
4 - Hộp mực máy in, máy photocopy 08 02 04
5 - Bùn từ hệ thống xử lý lẩn sơn 08 01 02
6 - Sơn thải 08 01 01
7 - Keo thải 08 03 01
8 - Dung môi thải 17 08 03
9 - Dầu nhớt thải 17 02 04
10 - Th2ung kim loại dính keo, dung môi 18 01 02
11 - Thùng nhựa dính thành phần nguy hại 18 01 03</t>
  </si>
  <si>
    <t>06503.737.069</t>
  </si>
  <si>
    <t>06503,686,908</t>
  </si>
  <si>
    <t>Ok HĐ
HĐHH</t>
  </si>
  <si>
    <t>31/07/2023</t>
  </si>
  <si>
    <t>Thửa đất số 184, tờ bản đồ số 14, Kp Khánh Long, P Tân Phước Khánh, TX Tấn Uyên, BD</t>
  </si>
  <si>
    <t>1 - Cặn sơn, sơn và vecni thải có dung môi hữu cơ hoăc các tp nguy hại 08 01 01
2 - Hộp mực in  08 02 04
3 - Chất kết dính và chất bịt kín thải thải có dung môi hữu cơ 08 03 01
4 - Bùn thải có các tp nguy hại 12 06 06
5 - Bóng đèn huỳnh quang thải 16 01 06
6 - Các loại dầu động cơ, hộp số và bôi trơn thải khác 17 02 04
7 - Các laoi5 dung môi 17 08 03
8 - Bao bì mền 18 01 01
9 - Bao bi cứng bằng kim loại 18 01 02
10 - Bao bì cứng bằng nhựa 18 01 03
11 - Chất hấp thụ vật liệu lộc giẻ lau 18 02 01
12 - Pin, ắc quy chì thải 19 06 01</t>
  </si>
  <si>
    <t>06506,550,217</t>
  </si>
  <si>
    <t>25/0/2022</t>
  </si>
  <si>
    <t>21/01/24</t>
  </si>
  <si>
    <t xml:space="preserve">1 - Bao bì cứng bằng kim loại đựng hóa chất, sơn, dung môi 18 01 02( Rắn)
2 - Bao bì mền nhiễm tp nguy hại 18 01 01( Rắn)
3 - Bao bì cứng bằng nhựa đựng hóa chất, sơn, dung môi 18 01 03( Rắn)
4 - Giẻ lau, gắng tay dính hóa chất 18 02 01( Rắn)
5 - Màng sơn, cặn sơn 08 01 02( Rắn)
6 - Bùn sơn thải 08 01 02 ( Bùn )
7 - Dung môi thải 17 08 03 ( lỏng)
8 - Bóng đèn huỳnh quang thải 16 01 06( Rắn)
9 - dầu nhớt thải 17 02 04( lỏng)
10-  Hộp mực in thải 08 02 04( Rắn)
11 - Pin, ắc quy chì thải 19 06 01( Rắn)
12 - Amiang thải 11 06 01( Rắn)
13 - Keo thải 08 03 01( Rắn)
14 - Huyền phù nước thải lẫn sơn có chứa dung môi hữu cơ 08 01 04( lỏng)
</t>
  </si>
  <si>
    <t>Ok HĐ
HĐHH
7/2020</t>
  </si>
  <si>
    <t xml:space="preserve">Ký mới
</t>
  </si>
  <si>
    <t>20/01/24</t>
  </si>
  <si>
    <t xml:space="preserve">Ok HĐ
</t>
  </si>
  <si>
    <t>Thửa đất số 117, tờ bản đồ số 32, ấp 2, Xã Thường tân, Huyện Bắc Tân Uyên, Tỉnh Bình Dương, VN</t>
  </si>
  <si>
    <t>OK</t>
  </si>
  <si>
    <t>02743,681,087</t>
  </si>
  <si>
    <t>06503.577.159
Thủy</t>
  </si>
  <si>
    <t>1 - Bao bì cứng bằng nhựa 18 01 03
2 - Dung môi thải 17 08 03
3 - Giẻ lau dính dầu nhớt, dung môi, sơn thải 18 02 01
4 - Dầu nhớt tổng hộp thải 17 02 04
5 - Cặn sơn thải 08 01 01
6 - Pin, ắc quy chì thải 19 06 01
7 - Bóng đèn huỳnh quang thải 16 01 06
8 - Bùn thải từ hệ thống xử lý nước thải 12 06 06
9 - Bao bì cứng bằng kim loại 18 01 02
10 - Băng keo đóng gói 19 12 02</t>
  </si>
  <si>
    <t>02743,655,130</t>
  </si>
  <si>
    <t>Chi Nhánh Công Ty TNHH Zhong Yu Furniture</t>
  </si>
  <si>
    <t xml:space="preserve">1 - Hóa chất vô cơ thải bao gồm hoăc các tp nguy hại 19 05 03
2 - Hóa chất hữu cơ thải bao gồm có các tp nguy hại 19 05 04
3 - Hộp mực in thải có các tp nguy hại 08 02 04
4 - Bóng đèn huỳnh quang và cac1 loại thủy tinh hoạt tính thải 16 01 06
5 - Các loại dầu động cơ, hộp số và bôi trơn thải khác 17 02 04
6 - Bao bì mền thải 18 01 01
7 - Bao bì cứng bằng kim laoi5 bao gồm bình hứa áp suất 18 01 02
8 - Bao bì cứng bằng nhựa 18 01 03
9 - Chất ha61pt hụ vật liệu lọc, giẻ lau 18 02 01
10 - Pin, ắc quy chì thải 19 06 01
11 - Các laoi5 dung môi, hỗn hợp dung môi thải khác 17 08 03
</t>
  </si>
  <si>
    <t>02743,639,905</t>
  </si>
  <si>
    <t>02743,792,925</t>
  </si>
  <si>
    <t xml:space="preserve">Ký lại 
</t>
  </si>
  <si>
    <t>06503652217</t>
  </si>
  <si>
    <t>thùng lớn</t>
  </si>
  <si>
    <t xml:space="preserve">Ký lại
</t>
  </si>
  <si>
    <t>Ký lại
01/04/2013</t>
  </si>
  <si>
    <t>01 lần/tháng
Theo Yêu Cầu</t>
  </si>
  <si>
    <t>06503.655.022</t>
  </si>
  <si>
    <t>06503632137</t>
  </si>
  <si>
    <t>Thửa đất số 426, tờ bản đồ số 10,11, tờ bản đồ số 20, Ấp Hóa Nhựt, Xã Tân Vĩnh Hiệp, TX Tân Uyên, Bình Dương</t>
  </si>
  <si>
    <t>1 - Hộp mực in thải có các thành phần nguy hại 08 02 04 ( Rắn )
2 - Bóng đèn huỳnh quang thải 16 01 06( Rắn )
3 - Các loại dầu động cơ, hộp số và bôi trơn thải khác 17 02 04 ( lỏng)
4 - Các loại dung môi và hỗn hơp dung môi thải khác 17 08 03( lỏng)
5 - Bao bì cứng bằng kim loại 18 01 02( Rắn )
6 - Bao bì cứng bằng nhựa  18 01 03( Rắn )
7 - Chất hấp thụ vật liệu lộc, giẻ lau, vải bảo vệ 18 02 01( Rắn )
8 - Pin, ắc quy chì thải 19 06 01( Rắn )</t>
  </si>
  <si>
    <t>HDHH Tháng
 09/2018
15/03/2019. Ký hd mới</t>
  </si>
  <si>
    <t>01 lần/3tháng
1,4,7,10</t>
  </si>
  <si>
    <t>0274632,127</t>
  </si>
  <si>
    <t>Thửa đất số 631, tờ bản đồ số 20, khu 5, Ấp Hóa Nhựt, Xã tân Vĩnh Hiệp, TX Tân Uyên, BD</t>
  </si>
  <si>
    <t>02743,611,961</t>
  </si>
  <si>
    <t>Ấp Tân Hóa, Xã Tân Vĩnh Hiệp, Tân Uyên, BD</t>
  </si>
  <si>
    <t>thửa đất số 225, tờ bản đồ số 16, KP Tân Bình, P tân Hiệp, Tân Uyên, Bình Dương</t>
  </si>
  <si>
    <t>0937,412,566
A Phong</t>
  </si>
  <si>
    <t>22/09/2022</t>
  </si>
  <si>
    <t>DT 746, thị trấn Tân Phước Khánh, H.Tân Uyên, BD</t>
  </si>
  <si>
    <t>06503610338</t>
  </si>
  <si>
    <t>01/07/2022</t>
  </si>
  <si>
    <t xml:space="preserve">ký lại 
</t>
  </si>
  <si>
    <t>06503.631.517</t>
  </si>
  <si>
    <t>01 lần/3tháng
3,6,9,12</t>
  </si>
  <si>
    <t>Loô F1&amp;F2, đường D2 và N5, KCN Nam Tân Uyên, Phường Khánh Bình, TX Tân Uyên, Tỉnh Bình Dương</t>
  </si>
  <si>
    <t>02743,653,770</t>
  </si>
  <si>
    <t xml:space="preserve">Ký lại 
</t>
  </si>
  <si>
    <t xml:space="preserve">0989.051976 Chị Nga </t>
  </si>
  <si>
    <t>Thửa đất số 358, tờ bản đồ số 26, KP Long Bình, P Khánh Bình, TX Tân Uyên, BD</t>
  </si>
  <si>
    <t>02743,652,720</t>
  </si>
  <si>
    <t>Ấp Long Hội,Tân Vĩnh Hiệp, T.U, BD</t>
  </si>
  <si>
    <t>Ok HĐ
09/04/2020. long báo ngưng thu gom</t>
  </si>
  <si>
    <t>06503631847</t>
  </si>
  <si>
    <t>06503610685</t>
  </si>
  <si>
    <t>KP 6, P Uyên Hưng, Tân Uyên, Bình Dương</t>
  </si>
  <si>
    <t>1 - Bao bì bằng kim loại dính thành phần nguy hại 18 01 02
2 - Giẻ lau nhiễm các thành phần nguy hại 18 02 01
3 - Bao bì mềm dính thành phần nguy hại 18 01 01
4 - Dầu nhớt thải 17 02 04
5 - Bóng đèn huỳnh quang thải. 16 01 06
6 - Pin, ắc quy chì thải 19 06 01
7 - Hộp mực in thải 08 02 04
8 - Căn sơn thải 08 01 01
9 - Dung môi lẩn cặn sơn thải. 17 08 03
10 - Gỗ vụn dính thành phần nguy hại. 09 01 01
11 - Keo thải. 08 03 01
12 - Bùn từ hệ thống xử lý nước thải 12 06 06
13 - Bao bì nhựa dính thành phần nguy hại. 18 01 03</t>
  </si>
  <si>
    <t>Tái ký</t>
  </si>
  <si>
    <t>06503.641.640</t>
  </si>
  <si>
    <t>tháng 9 hết hd k gom</t>
  </si>
  <si>
    <t>Kp 3,  Uyên Hưng, TX Tân Uyên, BD</t>
  </si>
  <si>
    <t>Ngày 12/09/2018.
 long báo ngưng thu gom</t>
  </si>
  <si>
    <t>06503.642.219</t>
  </si>
  <si>
    <t>02743,626,158</t>
  </si>
  <si>
    <t xml:space="preserve">CÔNG TY TNHH WEKORE </t>
  </si>
  <si>
    <t>34/1, Tổ 2, khu phố Khánh Lộc, phường Khánh Bình, thị xã Tân Uyên, tỉnh Bình Dương, Việt Nam</t>
  </si>
  <si>
    <t>1- Vật thể dung để mài đã qua sử dụng có các thành phần nguy hại (ví dụ đá mà, giấy ráp) 07 03 10 (rắn)</t>
  </si>
  <si>
    <t>0329791799</t>
  </si>
  <si>
    <t>30/05/2022</t>
  </si>
  <si>
    <t>20/01/2023</t>
  </si>
  <si>
    <t>Kp An Thành, P Thái Hòa,TX  Tân Uyên, Tỉnh Bình Dương</t>
  </si>
  <si>
    <t xml:space="preserve">Ký mới 
HĐHH
Tháng 04/2021
</t>
  </si>
  <si>
    <t>06503658913</t>
  </si>
  <si>
    <t xml:space="preserve">Ký mới </t>
  </si>
  <si>
    <t>Ký lại
HDHH
29/01/2020</t>
  </si>
  <si>
    <t>0837517111</t>
  </si>
  <si>
    <t>Ok HĐ
HĐHH
Tháng
7/2020</t>
  </si>
  <si>
    <t>06503.626.839</t>
  </si>
  <si>
    <t>TT Tân Phước Khánh, Tân Uyên, Bình Dương</t>
  </si>
  <si>
    <t>1 - Thùng đựng dầu nhớt, dung môi 18 01 01
2 - Bùn thải từ hệ thống xử lý nước thải 12 06 06
3 - Keo hỏng thải ; 08 03 01
4 - Giẻ lau dính dầu nhớt, keo thải  18 02 01
5 - Dầu nhớt thải ; 17 02 04
6 - Pin/ắc quy chì thải ; 19 06 01
7 - Bóng đèn huỳnh quang thải ;  16 01 06
8 - Hộp mực in thải ; 08 02 04
9 - Dung môi thải 17 08 03</t>
  </si>
  <si>
    <t>Ký lại
HĐHH
04/2021
Đức yêu cầu thu gom lại
05/08/2021, Danh Báo ngưng thu goom
Đức yêu cầu thu gom lại bình thường 
10/12/2021</t>
  </si>
  <si>
    <t>06503.653.027</t>
  </si>
  <si>
    <t>06503.713.814</t>
  </si>
  <si>
    <t>Thửa đất số 222, tờ bản đồ số 45, Đường ĐT 743, tổ 2, kp Khánh Lộc, Khánh Bình, TU, BD</t>
  </si>
  <si>
    <t>06503.653.451</t>
  </si>
  <si>
    <t>02743,683,310</t>
  </si>
  <si>
    <t>Thửa đất số 192,193,358,353,184, tờ bàn đồ số 15, KP Khánh Long, Phường tân Phước Khánh, Thị Xã tân Uyên, Tỉnh Bình Dương</t>
  </si>
  <si>
    <t>1 - Keo thải 08 03 01
2 - Dầu nhớt thải 17 02 04
3 - Hộp mực in thải 08 02 04
4 - Bóng đèn huỳnh quang thải 16 01 06
5 - Pin, ắc quy chì thải 19 06 01
6 - Than hoạt tính thải 19 12 03
7 - Bao bì mền thải 18 01 01
8 - Thùng kim loại dính thành phần nguy hại 18 01 02
9 - Thùng nhựa dính thành phần nguy hại 18 01 03
10 - Giẻ lau dính keo, dung môi, sơn 18 02  01
11 - Gỗ vụn dính tành phần nguy hại 09 01 01
12 - Dầu thủy lực thải 17 01 06
13 - Bùn từ hệ thống xử lý chất thải 12 06 06</t>
  </si>
  <si>
    <t xml:space="preserve">mới 
</t>
  </si>
  <si>
    <t>31/12/23</t>
  </si>
  <si>
    <t>ĐT 746 Tân Vĩnh Hiệp, Tân Uyên, BD</t>
  </si>
  <si>
    <t>3631113 
cường</t>
  </si>
  <si>
    <t>Thửa đất số 295, tờ bản đồ số 18, KP Ông Đông, Tân hiệp, Tân Uyên, BD</t>
  </si>
  <si>
    <t>Công Ty TNHH Quốc Tế Miền Đông VN
74,003,087,T</t>
  </si>
  <si>
    <t>Thửa đất số 599, Tờ bản đồ số 9, KP Khánh Hội, P Tân Phước Khánh, TX tân Uyên, BD</t>
  </si>
  <si>
    <t>06503,618,769</t>
  </si>
  <si>
    <t>Kp 8, TT Uyên Hưng, Tân Uyên, BD</t>
  </si>
  <si>
    <t>06503.641.545</t>
  </si>
  <si>
    <t>02743,641,181</t>
  </si>
  <si>
    <t>thửa đất số 18, tở bản đồ số 27, Kp Long Bình, P Khánh Bình, TX Tân Uyên, BD</t>
  </si>
  <si>
    <t>1 - Thùng kim loại dính sơn, dầu nhớt, dung môi 18 01 02  ( Rắn )
2 - Thùng nhựa dính tp nguy hại 18 01 03 ( Rắn )
3 - Giẻ lau, bao tay dính tp nguy hại 18 02 01 ( Rắn )
4 - Bóng đèn huỳnh quang thải 16 01 06 ( Rắn )
5 - Hộp mực in thải 08 02 04 ( Rắn )
6 - Pin, ắc quy chì thải 19 06 01 ( Rắn )
7 - Dầu nhớt thải 17 02 04 ( Lỏng)
8 - Cặn sơn thải 08 01 01 ( Rắn )
9 - Dung môi thải 17 08 03 ( Lỏng)
10 - Chất kết dính, chất bịt kín thải có dung môi hữu cơ 08 03 01 ( Lỏng)</t>
  </si>
  <si>
    <t>0989.501.535</t>
  </si>
  <si>
    <t>06503.612.747</t>
  </si>
  <si>
    <t>02743,717,012</t>
  </si>
  <si>
    <t>Ký lại
26/07/2014</t>
  </si>
  <si>
    <t>06503680065
0913.399.496
Liểu</t>
  </si>
  <si>
    <t>Khu 4, Phường Uyên Hưng, 
Tân Uyên, Tỉnh Bình Dương</t>
  </si>
  <si>
    <t>1 - Bóng đèn huỳnh quang thải ; 16 01 06
2 - Pin ắc quy chì thải ; 19 06 01
3 - Hộp mực in thải ; 08 02 04
4 - Dung môi tẩy sơn thải ; 08 01 05
5 - Dầu nhớt thải ; 17 02 04
6 - Sơn hỏng thải ; 08 01 01
7 - Keo thải ;  08 03 01
8 - Bùn từ hệ thống xử lý nước thải ; 12 06 06
9 -  Cặn sơn thải ; 08 01 02
10 - Giẻ lau, bao tay dính dầu nhớt, dung môi, sơn thải ; 18 02 01
11 - Bao bì, thùng chứa dầu nhớt, chất phụ gia, dung môi, sơn thải 18 01 01</t>
  </si>
  <si>
    <t>Anh Danh báo ngưng ngày 12/05/2022</t>
  </si>
  <si>
    <t>06503.641526</t>
  </si>
  <si>
    <t>Lô P6, Đường N2, KCN Nam Tân Uyên Mở Rộng, P Uyên Hưng, TX Tân Uyên, BÌnh Dương</t>
  </si>
  <si>
    <t>1 - Hộp mực in thải 08 02 04
2 - Bóng đèn huỳnh quang thải 16 01 06
3 - Các loại dầu động cơ, hộp số và bôi trơn thải khác 17 02 04
4 - Bao bì cứng bằng kim loại 18 01 02
5 - Bao bì cứng bằng nhựa 18 01 03
7 - Chất hấp thụ, vật liệu lộc, giẻ lau 18 02 01</t>
  </si>
  <si>
    <t>Ok HĐ
Nghĩa báo
 Ngưng thu gom</t>
  </si>
  <si>
    <t>01 lần/06tháng
11/2021
05/2022</t>
  </si>
  <si>
    <t>02743,513,579</t>
  </si>
  <si>
    <t>0909,507,318
Hằng</t>
  </si>
  <si>
    <t>xe cẩu</t>
  </si>
  <si>
    <t>Công ty TNHH Thành Thắng 
74.000.889.T</t>
  </si>
  <si>
    <t>06503631536</t>
  </si>
  <si>
    <t>20/05/24</t>
  </si>
  <si>
    <t>mới 1/6/11</t>
  </si>
  <si>
    <t>06503.625.753</t>
  </si>
  <si>
    <t>20/02/2019
HĐHH</t>
  </si>
  <si>
    <t>06503.813.407</t>
  </si>
  <si>
    <t>20/07/2025</t>
  </si>
  <si>
    <t>Ký lại 
02/07/2012</t>
  </si>
  <si>
    <t>06503652681
0909.537.593</t>
  </si>
  <si>
    <t>02743,800,600</t>
  </si>
  <si>
    <t>20/10/2023</t>
  </si>
  <si>
    <t>Thửa đất số 713, tờ bản đồ số 45, KH Khánh tân, P Khánh Bình, TX Tân Uyên, Tỉnh Bình Dương</t>
  </si>
  <si>
    <t>OK HĐ</t>
  </si>
  <si>
    <t>Ký lại
đợi KV báo lịch gom</t>
  </si>
  <si>
    <t>02746,538,10</t>
  </si>
  <si>
    <t>02/08/2022</t>
  </si>
  <si>
    <t>Long Bình, Khánh Bình,Tân Uyên, BD</t>
  </si>
  <si>
    <t>C.Phượng
0909666436</t>
  </si>
  <si>
    <t xml:space="preserve">ký lại
</t>
  </si>
  <si>
    <t>06503.775.045</t>
  </si>
  <si>
    <t>thửa đất số 58, tờ bản đồ số 50, Kp Bình Chánh Đông, P Khánh Bình, TX Tân Uyên, BD</t>
  </si>
  <si>
    <t>Thửa đất số 928, tờ bản đồ số 35, KP Bình Chánh, P Khánh Bình, TX Tân Uyên, BD</t>
  </si>
  <si>
    <t>02743,613,537</t>
  </si>
  <si>
    <t>Thửa đất số 885, tờ bản đồ số 47, KP Chánh Đông, Phường Khánh Bình, TX Tân Uyên, Tỉnh BD</t>
  </si>
  <si>
    <t>02742,461,597</t>
  </si>
  <si>
    <t>06503.618.558</t>
  </si>
  <si>
    <t>Thửa đất số 773, tờ bản đồ số 52, Kp 8, Phường Uyên Hưng, TX Tân Uyên, Bình Dương</t>
  </si>
  <si>
    <t>06503504810</t>
  </si>
  <si>
    <t>06503652857</t>
  </si>
  <si>
    <t>06503658753</t>
  </si>
  <si>
    <t>06503.714.9911
0933.780.687</t>
  </si>
  <si>
    <t>06503652066</t>
  </si>
  <si>
    <t>Phường Tân Hiệp, Tân uyên, BD</t>
  </si>
  <si>
    <t>1 - Hộp mực in thải có các thành phần nguy hại 08 02 04 ( rắn )
2 - Chất kết dính, chất bị kín thải có dung môi hữu cơ 08 03 01( rắn )
3 - Dầu thủy lực tổng hợp thải 17 01 06 ( Lỏng)
4 - Bóng đèn huỳnh quang thải 16 01 06 ( rắn )
5 - Các loại dầu động cơ, hộp số và bôi trơn thải 17 02 04( Lỏng)
6 - Bao bì cứng thải bằng kim loại 18 01 02( rắn )
7 - Bao bì cứng bằng nhựa 18 01 03( rắn )
8 - Chất hấp thụ vật liệu lộc, giẻ lau 18 02 01( rắn )
9 - Pin, ắc quy chì thải 19 06 01 ( rắn )
10 - Các loại chất thải khác chứa thành phần nguy hại 19 12 02( rắn )
11 - Bao bì mền thải 18 01 01( rắn )
12 - Chất thải lây nhiễm  13 01 01( rắn )</t>
  </si>
  <si>
    <t xml:space="preserve">06503,655,398
</t>
  </si>
  <si>
    <t>06503.629.369
0902,930,953
Phước</t>
  </si>
  <si>
    <t>06503681008</t>
  </si>
  <si>
    <t>Khu Phố Ông Đông, xã Tân Hiệp, h.Tân Uyên, BD</t>
  </si>
  <si>
    <t>06503.648.125</t>
  </si>
  <si>
    <t>Thửa đất số 305, tờ bản đồ 26, Khu Phố Tân Bình, Phương Tân Hiệp, Tân Uyên, Bình Dương</t>
  </si>
  <si>
    <t>Ngày 20/03/2019
HĐHH</t>
  </si>
  <si>
    <t>06503.652.756</t>
  </si>
  <si>
    <t>06503.822.602</t>
  </si>
  <si>
    <t>06503653645</t>
  </si>
  <si>
    <t>Ký lại
15/01/2014</t>
  </si>
  <si>
    <t>06503.648.980.T</t>
  </si>
  <si>
    <t>02743,686,988</t>
  </si>
  <si>
    <t>1 - Axit tâẩy rửa 07 01 01 ( Lỏng)
2 - Ba zờ tẩy rửa 07 01 03 ( Lỏng)
3 - Bùn thải của quá trình phot phat hóa 07  01 05 ( Bùn )
4 - Bùn thải và bả lộc có các thành phần nguy hại 07 01 05 ( Bùn )
5 - Chất thải có các thành phần nguy hại 07 01 06 ( Lỏng)
6 - Dầu tổng hợp thải từ qua trình gia công tạo hình 07 03 05 ( Lỏng)
7 - Các vật liệu mài dạng hạt 07 03 08 ( rắn )
8 - Bùn thải nghiền mài có dầu 07 03 09 ( Bùn )
9 - Vật thể dùng đển mài, đã qua sử dụng 07 03 10 ( rắn )
10 - Phoi từ quá trình gia công tạo hình hoăc vật liệu bị mài lẫm dầu 07 03 11 ( rắn )
11 - Cặn sơn, sơn và vecni thải có dung môi hu7ua4 cơ 08 01 01 ( rắn )
12 - Bùn thải lẩn sơn hoăc vecni có dung môi hữu cơ 08 01 02( Bùn )
13 - Hộp mực in thải 08 02 04( rắn )
14 - Chất kết dính và chất bịt kín 08 03 01( rắn )( rắn )
15 - Bóng đèn huỳnh quang thải 16 01 06( rắn )
16 - Các loại dầu động cơ, hộp số và bôi trơn thải 17 02 04 ( Lỏng)
17 - Dầu thủy lực tổng hộp thỉa 17 01 06( Lỏng)
18 - Dung môi thải 17 08 03( Lỏng)
19 - Bao bì cứng bằng kim loại 18 01 02( rắn )
20 - Bao bì cứng bằng nhựa 18 01 03( rắn )
21 - Chất hấp thụ, vật liệu lộc, giẻ lau 18 02 01( rắn )
22 - Pin, ắc quy chì thải 19 06 01( rắn )
23 - Các loại chất thải khác chứa thành phần nguy hại 19 12 03( rắn )</t>
  </si>
  <si>
    <t>Hợp Tác Xã Thép Toàn Lực
74,002,701,T</t>
  </si>
  <si>
    <t>Ok HĐ
HĐHH 
Tháng 08/2020</t>
  </si>
  <si>
    <t>Ok HĐ
KH Làm Làm CV Ngưng thu gom
Tháng 05/2020</t>
  </si>
  <si>
    <t>Ký lại 
12/02/2014</t>
  </si>
  <si>
    <t>02743,612,979</t>
  </si>
  <si>
    <t>Lô 2H1, đường CN6 Và CN7, KCN Tân Bình, Xã Tân Bình, Huyện Bắc Tân Uyên,tỉnh Bình Dương</t>
  </si>
  <si>
    <t>02743,800,015</t>
  </si>
  <si>
    <t>28/02/2022</t>
  </si>
  <si>
    <t>20/03/2019,
 HĐHH</t>
  </si>
  <si>
    <t>M3-04, Lô đường D2, KCN Nam Tân Uyên, Tân Uyên, BD</t>
  </si>
  <si>
    <t>20/07/2023</t>
  </si>
  <si>
    <t>Thửa đất 270, bản đồ 07, tổ 1, KP Phước Hải, P Thái Hòa, TX Tân Uyên, Bình Dương</t>
  </si>
  <si>
    <t>1 - Bùn thải từ hệ thống xử lý nước thải 12 06 05</t>
  </si>
  <si>
    <t>02743,626,638</t>
  </si>
  <si>
    <t>Lô N8, Đường N7-D4, KCN Nam Tân Uyên, Khánh Bình, Tân Uyên, BD</t>
  </si>
  <si>
    <t>Lô P6, Đường N9, KCN Nam Tân Uyên, BD</t>
  </si>
  <si>
    <t>1 - Bóng đèn huỳnh quang thải 16 01 06 ( Rắn )
2 - Pin, ắc quy chì thải 19 06 01 ( Rắn )
3 - Hộp mực in thải 08 02 04 ( Rắn )
4 - Giẻ lau, bao tay dính thành phần nguy hại 18 02 01 ( Rắn )
5 - Dầu nhớt thải 17 02 04 ( Lỏng)
6 - Bao bì nhựa đựng hóa chất 18 01 03 ( Rắn )</t>
  </si>
  <si>
    <t xml:space="preserve"> Lô M5, đường D4, KCN Nam Tân Uyên, Tân Uyên, BD</t>
  </si>
  <si>
    <t xml:space="preserve">Kýlại
</t>
  </si>
  <si>
    <t>Ok HĐ
Ngày 15/04/2020. long báo ngưng thu gom</t>
  </si>
  <si>
    <t>Ký mới 
Ngày 28/01/2020, Đức báo ngưng thu gom</t>
  </si>
  <si>
    <t>Chi nhánh Công ty TNHH MTV Gạch Ngói Quốc Toàn</t>
  </si>
  <si>
    <t>Thửa đất số 594, tờ bản đồ số 14, ấp Cổng Xanh, xã Tnaa Bình, huyện Bắc Tân Uyên, tỉnh Bình Dương Việt Nam.</t>
  </si>
  <si>
    <t>02 lần/năm
5,11</t>
  </si>
  <si>
    <t>0968791212</t>
  </si>
  <si>
    <t>06503.642.667</t>
  </si>
  <si>
    <t xml:space="preserve">
Địa chỉ mới: lô A10 và A11, đường N5, KCN Nam Tân Uyên Mở Rộng, Xã Hội Nghĩa, TX tân Uyên, Bình Dương</t>
  </si>
  <si>
    <t>1 -Can đựng dầu nhớt, thùng đựng sươn, keo acrylic, dung môi thải 18 01 02
2 - Giẻ lau, găng tay dính dầu nhớt, sơn, keo, dung môi 18 02 01
3 - Bóng đèn huỳnh quang 16 01 06
4 - Dầu nhớt thải 17 02 04
5 - Pin, ắc quy chì thải 19 06 01
6 - Cặn sơn thải 08 01 01
7 -Keo thải 08 03 01
8 - Hộp mực in thải 08 02 04
9 - Dung môi thải. 17 08 03</t>
  </si>
  <si>
    <t>01 lần/tháng
HĐ Mới Tăng lịch</t>
  </si>
  <si>
    <t xml:space="preserve">
 lô A10 và A11, đường N5, KCN Nam Tân Uyên Mở Rộng, Phường Hội Nghĩa, TX tân Uyên, Bình Dương</t>
  </si>
  <si>
    <t>1 - Giẻ lau dính dầu nhớt 18 02 01
2 - Dầu thủy lực thải 17 01 07
3 - Dầu bôi trơn thải 17 02 04
4 - Bóng đèn huỳnh quang thải 16 01 06
5 - Hộp mực in thải 08 02 04
6 - Pin, ắc quy chì thải 19 06 01
7 - Xỉ thiết hàn thải 11 01 01
8 - Thùng kim loại đựng dầu nhớt 18 01 02
9 - Thùng nhựa đựng dầu nhớt 18 01 03</t>
  </si>
  <si>
    <t>Ký mới 
Ngảy 17/05/2021, đức báo ngưng thu gom</t>
  </si>
  <si>
    <t>02743,653,684</t>
  </si>
  <si>
    <t>Công ty TNHH Thực phẩm Chen Lin
74.002.879.T</t>
  </si>
  <si>
    <t xml:space="preserve"> 1 lần  / 3 tháng 
1,4,7,11</t>
  </si>
  <si>
    <t>20/06/2023</t>
  </si>
  <si>
    <t>Lô H11, H12, Đường N3, KCN Nam Tân Uyên Mở Rộng, P Hội Nghĩa, TX tân Uyên, Tỉnh Bình Dương</t>
  </si>
  <si>
    <t>7/2022,1/2023</t>
  </si>
  <si>
    <t>0869,208,028</t>
  </si>
  <si>
    <t>30/05/2024</t>
  </si>
  <si>
    <t>0965,852,123</t>
  </si>
  <si>
    <t>Lô A8, đuồng N5, KCN Nam Tân Uyên Mở Rộng, Phường Hội Nghĩa, TX Tân Uyên, tỉnh BD</t>
  </si>
  <si>
    <t>1 - Bao bì mềm dính hóa chất 18 01 01( Rắn )
2 - Hộp mực in 08 02 04 ( Rắn )
3 - Các loại dầu động cơ, hộp số 17 02 04
4 - Giẻ lau nhiễm các thành phần nguy hại 18 02 01( Rắn )
5 - Bóng đèn huỳnh quang thải 16 01 06 ( Rắn )
6 - Dung môi thải 17 08 03 ( Lỏng )
7 - Chất kết dính và chất bịt kín  08 03 01 ( Lỏng )
8 - Hóa chất vô cơ thải 19 05 03( Rắn, Lỏng )
9 - Thùng kim loại dính thành phần nguy hại 18 01 02  ( Rắn )
10 - Thùng nhựa dính thành phần nguy hại18 01 03 ( Rắn )
11 - Pin, ắc quy chì thải 19 06 01 ( Rắn )
12 - Bùn thải có các thành phần nguy hại 12 06 06 ( bùn)
13 - Chất thải chứa tác nhân lây nhiễm 13 01 01 ( Rắn )</t>
  </si>
  <si>
    <t>Ok HĐ
HĐHH Tháng 01/2020</t>
  </si>
  <si>
    <t>02743,991159</t>
  </si>
  <si>
    <t>09622,257,321</t>
  </si>
  <si>
    <t>20/02/2024</t>
  </si>
  <si>
    <t>0274,246,1522</t>
  </si>
  <si>
    <t>Ký mới
Ngày 21/10/2020, đức báo ngưng thu gom</t>
  </si>
  <si>
    <t>02873,056,5666</t>
  </si>
  <si>
    <t>Ký mới 
27/12/2012</t>
  </si>
  <si>
    <t>Lô 2A5 đường CN7&amp;CN5A, KCN Tân Bình, Xã tân Bình, Huyện Bắc Tân Uyên, Tỉnh BD</t>
  </si>
  <si>
    <t>02743,688,892</t>
  </si>
  <si>
    <t>Hợp Tác Xã Phước Lộc
74,002,976,T</t>
  </si>
  <si>
    <t>Ấp Cổng Xanh, Xạ Tân Bình, Huyện Bắc tân Uyên, Tỉnh Bd</t>
  </si>
  <si>
    <t>0913,496,399</t>
  </si>
  <si>
    <t>Lô M4, Đường N8 - D3, KCN Nam Tân Uyên, Tân Uyên, BD</t>
  </si>
  <si>
    <t>'06503.653933</t>
  </si>
  <si>
    <t>1 - Các loại dầu động cơ, hộp số và bôi trơn thải khác 17 02 04
2 - Giẻ lau dính dầu nhớt ; 18 02 01
3 - Bóng đèn huỳnh quang thải ;  16 01 06
4 - Hộp mực in có các thành phần nguy hại 08 02 04
5 - Bao bì cứng bằng kim loại 18 01 02</t>
  </si>
  <si>
    <t>Ngày 15/12/2017
OK HĐ</t>
  </si>
  <si>
    <t>086.2917481
0909.307.470 hải</t>
  </si>
  <si>
    <t>02854115000</t>
  </si>
  <si>
    <t>06503.681.818</t>
  </si>
  <si>
    <t>06503.681.087.</t>
  </si>
  <si>
    <t>1 - Bóng đèn huỳnh quang thải 16 01 06
2 - Giẻ lau dính dầu nhớt thải 18 02 01
3 - Thùng đựng dầu nhớt bằng nhựa thải 18 01 03
4 - Dầu nhớt thải 17 02 04
5 - Pin, ắc quy chì thải 19 06 01
6 - Hộp mực in thải 08 02 04</t>
  </si>
  <si>
    <t>Ký  mới</t>
  </si>
  <si>
    <t>06503.650.789</t>
  </si>
  <si>
    <t>Số 527, tờ bản đồ số 6, Ấp Bà Tri, Tân Hiệp, TU, BD</t>
  </si>
  <si>
    <t>0909.888.828</t>
  </si>
  <si>
    <t>Ký lại
HDHH
29/01/2020
Long Yêu cầu lấy lai</t>
  </si>
  <si>
    <t>06503.658.037
0932.282.411
Chi Oanh</t>
  </si>
  <si>
    <t>Ký  mới
HĐHH
Tháng 04/2021
Đức làm phiếu yêu cầu thu gom lại</t>
  </si>
  <si>
    <t>06503.648.083</t>
  </si>
  <si>
    <t>Theo Yêu Cầu</t>
  </si>
  <si>
    <t>06503648082</t>
  </si>
  <si>
    <t>20/06/2025</t>
  </si>
  <si>
    <t>cẩu nhỏ</t>
  </si>
  <si>
    <t>Thửa đất số 56,57,58,583, tờ bản đồ số 12,15, khu phố 1, phường Hội Nghĩa, Tân Uyên, BD</t>
  </si>
  <si>
    <t>06503.648.81</t>
  </si>
  <si>
    <t>Đường ĐH 423, KP Bà tri, Tân Hiệp, Tân uyên Bd</t>
  </si>
  <si>
    <t>06503.655.028.</t>
  </si>
  <si>
    <t>0979.263.339</t>
  </si>
  <si>
    <t>CÔNG TY TNHH HỒNG TUỆ</t>
  </si>
  <si>
    <t>Thửa dđât số 304, TBĐ 24, ấp 2, phường Vĩnh Tân, thị xã Tân Uyên, tình Bình Dường, Việt Nam</t>
  </si>
  <si>
    <t>1- Chất hấp thụ, vật liệu lọc (kể cả vật liệu lọc dầu), giẻ lau, vải bảo vệ thải bị nhiễm các TPNH 18 02 01 (rắn)
2 - Tro lò đốt 12 03 02 (rắn)
3- Keo thải 08 03 01 (rắn)
4- Bao bì mềm thải 18 01 01 (rắn)
5 - Bao bì cứng thải bằng kim loại bao gồm cả bình chứa áp suất rỗng hoàn toàn 18 01 02 (rắn)
6 - Boa bì cứng thải bằng nhựa 18 01 03 (rắn)</t>
  </si>
  <si>
    <t>0908044213</t>
  </si>
  <si>
    <t>Ký lại 
26/03/14</t>
  </si>
  <si>
    <t>06503626746</t>
  </si>
  <si>
    <t>20/03/23</t>
  </si>
  <si>
    <t>mỏ đá tân mỹ A, ấp 1, xã tân mỹ, B.tân uyên, BD</t>
  </si>
  <si>
    <t>06503.650.678</t>
  </si>
  <si>
    <t>06503,686,341,T</t>
  </si>
  <si>
    <t>Thửa đất số 265, 270, tờ bản đồ số 4, ấp suối sâu, Xã Đất Cuốc, Huyện Bắc Tân Uyên, Tỉnh BD, VN</t>
  </si>
  <si>
    <t>1 - Bao bì mền thải 18 01 01
2 - Bao bì cứng bằng kim loại 18 01 02
3 - Hộp mực in thải 08 02 04
4 - Chất hấp thụ, vật liệu lộc, giẻ lau 18 02 01
5 - Bóng đèn huỳnh quang thải 16 01 06
6 - Các loại dầu động cơ, hộ số và bôi trơn thải 17 02 04
7 - Pin, ắc quy chì thải 19 06 01
8 - Bao bì cứng bằng nhựa 18 01 03
9 - Cặn sơn, sơn và vecni thải 08 01 01</t>
  </si>
  <si>
    <t>0971,807,823</t>
  </si>
  <si>
    <t>02742,461,857</t>
  </si>
  <si>
    <t>Cơ sở Cơ Khí Mai Văn Phượng
74.001.121.T</t>
  </si>
  <si>
    <t>1 - Bóng đèn huỳnh quang thải; 16 01 06
2 -  Bao bì,đựng dầu nhớt, hóa chất, sơn thải; 18 01 01 
3 - Giẻ lau dính dầu nhớt, hóa chất, sơn thải;  18 02 01
4 - Hộp mực in thải;  08 02 04
5 - Dầu nhớt thải; 17 02 04
6 - Pin ắc quy chì thải; 19 06 01
7 - Axít thải;  02 01 06
8 - Bazơ thải; 02 02 02 
9 - Dung môi thải; 17 08 03
10 - Bùn từ hệ thống xử lý nước thải;12 06 06 
11 - Cặn sơn, bột sơn thải. 08 01 01</t>
  </si>
  <si>
    <t>06503625241</t>
  </si>
  <si>
    <t>Axit thải 07 01 02</t>
  </si>
  <si>
    <t>0926,511,060</t>
  </si>
  <si>
    <t>06503.626.518</t>
  </si>
  <si>
    <t>20/04/2023</t>
  </si>
  <si>
    <t>Công ty TNHH Gia Công Gỗ Khải Việt</t>
  </si>
  <si>
    <t>Thửa đất số 338, TBĐ sso 51, Khu phố 8, phường Uyên Hưng, Thị xã Tân Uyên, tỉnh Bình Dương, Việt Nam</t>
  </si>
  <si>
    <t>1-Chất hấp thụ vật liệu lọc (bao gồm cả vật liệu lọc dầu chưa nêu tại các mã khác), giẻ lau, và bảo vệ thải bị nhiễm các thành phần nguy hại 18 02 01 (rắn)
2- Bóng đèn huỳnh quang và các loại thủy tinh hoạt tính thải 16 01 06 (rắn)
3- Các loại dầu động cơ, hộp số và bôi trơn thải khác 17 02 04 (lỏng)
4 - Bao bì mềm thải  18 01 01 (rắn)
5-Bao bì cứng bằng kim loại bao gồm cả bình chứa áp suất bảo đảm rỗng hoàn toàn 18 01 02 (rắn)
6 - Bao bì cứng bằng nhựa thải 18 01 03 (rắn)
7 - Hộp mực in thải có chứa thành phần nguy hại 08 02 04 (rắn)
8 - Các loại dung môi và hỗn hợp dung môi thải khác 17 08 03 (lỏng)
9 - Cặn sơn, sơn và vécni thải có dung môi hữu cơ hoặc các thành phần nguy hại khác 08 01 01 (lỏng)</t>
  </si>
  <si>
    <t>Lô F9-F10-F11-F12, đường D3-N4-N5, KCN Nam Tân Uyên Mở Rộng, P Uyên Hưng, TX Tân Uyên, Tỉnh Bình Dương</t>
  </si>
  <si>
    <t>02743,639,269</t>
  </si>
  <si>
    <t>Lô B6, Đường N5, KCN Nam Tân Uyên Mỡ Rộng, Xã Hội Nghĩa, TX Tân Uyên, Tỉnh BD</t>
  </si>
  <si>
    <t>1 - Bùn thải lẩn sơn hoặc vecni có dung môi hữu cơ hoặc có các tp nguy hại 08 01 02
2 - Hộp mực in có các tp nguy hại 08 02 04
3 - Chất kế dính và chất bịt kín thải có dung môi hữu cơ hoặc có tp nguy hại 08 03 01
4 - Mùn cưa phoi bào, dầu mẫu gỗ thừa, ván 09 01 01
5 - Các loại chất thải khác chứa thành phần nguy hại 12 01 04
6 - Bóng đèn huỳnh quang thải 16 01 06
7 - Các loại dầu động cơ, hộp số và bôi trơn thải khác 17 02 04
8 - Các loại dung môi và hỗn hợp dung môi 17 08 03
9 - Bao bì mền thải 18 01 01
10 - Bao bì cứng bằng kim loại 18 01 02
11 - Bao bì bằng nhau75 18 01 03
12 - Chất hấp thụ vật liệu lộc, giẻ lau 18 01 02
13 - Pin, ắc quy chì thải 19 06 01</t>
  </si>
  <si>
    <t>Ok HĐ
Ngày 20/11/2019. Nghĩa báo ngưng thu gom</t>
  </si>
  <si>
    <t xml:space="preserve">01 lần/tháng
Ký hđ mới tăng lịch
</t>
  </si>
  <si>
    <t>02743,686,773</t>
  </si>
  <si>
    <t>1 - Cặn sơn, sơn và vecni thải có dung môi hữu cơ 08 01 01
2 - Bùn thải sơn hoăc vecni có dung môi hữu cơ hoăc các thành phần nguy hại 08 01 02
3 - Hộp mực in thải 08 02 04
4 - Chất kết dính và chất bịt kín thải có dung môi hữu cơ 08 03 01
5 - Than hoạt tính đã qua sử dụng từ qua trình xử lý khí thải 12 01 04
6 -  Bóng đèn huỳnh quang thải 16 01 06
7 - Các loại dầu động cơ 17 02 04
8 - Các loại dung môi 17 08 03
9 - Bao bì mền 18 01 01
10 - Bao bì cứng  bằng kim loại 18  01  02
11 - Bao bì cứng bằng nhựa 18 01 03
12 - Chất hấp thụ, giẻ lau 18 02 01
13 - Pin, ắc quy chì thải 19 06 01</t>
  </si>
  <si>
    <t>02743,800,881</t>
  </si>
  <si>
    <t>02743,798,864</t>
  </si>
  <si>
    <t>02743,653,915</t>
  </si>
  <si>
    <t>02743,685,738</t>
  </si>
  <si>
    <t>HDHH Tháng
 10/2018</t>
  </si>
  <si>
    <t>06503,686,401</t>
  </si>
  <si>
    <t>lô K9, Đường D3, KCN Nam Tân Uyên Mở Rộng, Phường Uyên Hưng, TX Tân Uyên, Bình Dương</t>
  </si>
  <si>
    <t xml:space="preserve">1 - Phoi trong quá trình gia công tạo hình hoăc vật liệu mài lẫn dầu, nhũ tương huy dung dịch thải có dầu hoăc các tp nguy hại 07 03 11
2 - Hộp mực in thải có các tp nguy hại 08 02 04
3 - Bóng đèn huỳnh quang và các loại thủy tinh hoạt tính 16 01 06
4 - Các loại dầu động cơ, hộp số bôi trơn thải khác 17 02 04
5 - Bao bì cứng bằng kim loại, bao gồn cả bình chứa áp suất rổng 18 01 02
6 - Chất hấp thụ, vật liệu lộc, giẻ lau 18 02 01
7 - Pin, ắc quy chì thải 19 06 01
</t>
  </si>
  <si>
    <t>06503.712.737</t>
  </si>
  <si>
    <t>Lô C2, KCN Đất Cuốc - Khu A, Xã Đất Cuốc, Huyện Bắc Tân Uyên, Tỉnh BD</t>
  </si>
  <si>
    <t>02743,711,515</t>
  </si>
  <si>
    <t>15/08/2022</t>
  </si>
  <si>
    <t>Chuyển sang
 yêu cầu</t>
  </si>
  <si>
    <t>cô hường
3642516</t>
  </si>
  <si>
    <t>1xe thùng</t>
  </si>
  <si>
    <t>06503641380</t>
  </si>
  <si>
    <t>06503.611.688</t>
  </si>
  <si>
    <t>tổ 5, KP Khánh Hội, TT Tân Phước Khánh, TX Tân Uyên, Tỉnh BD</t>
  </si>
  <si>
    <t>Anh Chánh
0903,717,535</t>
  </si>
  <si>
    <t>HĐHH Tháng 09/2018</t>
  </si>
  <si>
    <t>Ký lại
20/05/2014</t>
  </si>
  <si>
    <t>02743,629,688</t>
  </si>
  <si>
    <t>30/08/23</t>
  </si>
  <si>
    <t>Ký lại
20/05/2014
(4)</t>
  </si>
  <si>
    <t>4</t>
  </si>
  <si>
    <t>06503625345</t>
  </si>
  <si>
    <t>06503625825</t>
  </si>
  <si>
    <t>Lô E2-1, Đường N1, Cụm Công Nghiệp Tân Mỹ, Huyện Bắc tân Uyên, Tỉnh BD</t>
  </si>
  <si>
    <t>1 - Thùng đựng hóa chất 18 01 01
2 - Giẻ lau dính dầu nhớt 18 02 01
3 - Cặn sơn thải 08 01 02
4 - Dung môi thải 08 01 05
5 - Bóng đèn huỳnh quang thải 16 01 06
6 - Dầu nhớt thải 17 02 04
7 - Màng lộc sơn 18 02 01 Bsung</t>
  </si>
  <si>
    <t xml:space="preserve">ký mới 
</t>
  </si>
  <si>
    <t>06503,686,470</t>
  </si>
  <si>
    <t>Ok HĐ
14/08/2020. Long Báo ngưng thu gom</t>
  </si>
  <si>
    <t>06503652902</t>
  </si>
  <si>
    <t>1 - Giẻ lau, bao tay dính sơn, dung môi 18 02 01
2 - dầu nhớt thải 17 02 04
3 - Bóng đèn huỳnh quang thải 16 01 06
4 - Pin, ắc quy chì thải 19 06 01
5 - Hộp mực in thải 08 02 04
6 - Bao bì cứng đựng sơn, dung môi và dầu nhớt thải 18 01 03
7 - Dung môi thải 17 08 03
8 - Cặn sơn thải 08 01 01
9 - Bùn thải lẩn sơn có dung môi hữu cơ 08 01 02
10 - Keo thải 08 03 01</t>
  </si>
  <si>
    <t>06503.639.026</t>
  </si>
  <si>
    <t>HHHĐ
Tháng 07/2018
mới Ký lại</t>
  </si>
  <si>
    <t>02743,639,998</t>
  </si>
  <si>
    <t>Lô N6, đường N3, KCN Nam Tân Uyên Mở Rộng, Xã Hội Nghĩa, TX Tân Uyên, Tỉnh BD</t>
  </si>
  <si>
    <t>1 - Cặn sơn,sơn và véc ni thải có dung môi hữu cơ hoặc các thành phần nguy hại khác 08 01 01
2 - Bùn thải lẫn sơn hoặc véc ni có dung môi hữu cơ hoặc các thành phần nguy hại khác 08 01 02
3 - Hộp mực in thải có các thành phần nguy hại 08 02 04
4 - Chất kết dính và chất bịt kín thải có dung môi hữu cơ hoặc các thành phần nguy hại khác 08 03 01
5 - Mùn cưa,phoi bào,đầu mẩu,gỗ thừa,ván và gỗ dán vụn thải có các thanh phần nguy hại 09 01 01
6 - Bóng đèn huỳnh quang và các loại thuỷ tinh hoạt tính thải 16 01 06
7 - Các loại dầu động cơ,hộp số và bôi trơn thải khác 17 02 04
8 - Các loại dung môi và hỗn hợp dung môi thải khác 17 08 03
 9 - Bao bì mềm thải 18 01 01
10 - Bao bì cứng thải bằng kim loại bao gồm cả bình chứa áp suất bảo đảm rỗng hoàn toàn 18 01 02
11 - Bao bì cứng thải bằng nhựa 18 01 03
12 - Chất hấp thụ,vật liệu lọc (bao gồm cả vật liệu lọc dầu chưa nêu tại các mã khác),giẻ lau,vải bảo vệ thải bị nhiễm các thành phần nguy hại 18 02 01
13 - Pin,ắc quy chì thải 19 06 01
14 - Các loại chất thải khác có các thành phần nguy hiểm hữu cơ 19 12 02</t>
  </si>
  <si>
    <t>Ok HĐ
HDHH
12/2020</t>
  </si>
  <si>
    <t>0937,211,180
Phương</t>
  </si>
  <si>
    <t>Thu gom trước 
24/01/2019
Ngày 18/03/2021, đức yếu cầu thu gom
07/06/2021</t>
  </si>
  <si>
    <t>06503800667</t>
  </si>
  <si>
    <t>Khu 8, TT Uyên Hưng, Tân Uyên, BD</t>
  </si>
  <si>
    <t xml:space="preserve">1 - Bao bì mền có chứa hoặc nhiễm các TPNH 18 01 01.
2 - Bao bì kim loại chứa hóa chất 18 01 02.
3 - Bao bì bằng nhựa chứa dầu nhớt thải 18 01 03.
4 - Chất xúc tác đã qua sử dụng nhiễm các TPNH 19 08 04.
5 - Giẻ lau vải mềm dính TPNH 18 02 01.
6 - Dầu nhớt thải 17 02 04.
7 - Dung dịch tẩy rửa thải có gốc nước 03 02 01.
8 - Bóng đèn huỳnh quang 16 01 06.
9 - Pin, ắc quy chì thải 19 06 01.
</t>
  </si>
  <si>
    <t>06503642268</t>
  </si>
  <si>
    <t>ĐT 747, Khu phố 7, P. Uyên Hưng, TX Tân Uyên, BD</t>
  </si>
  <si>
    <t xml:space="preserve">Ký mới 
Theo Yêu Cầu
</t>
  </si>
  <si>
    <t>06503642004
0944,450945
Châu</t>
  </si>
  <si>
    <t>02743,641,545</t>
  </si>
  <si>
    <t>TĐS 311, TBĐ số 39, KP 8, P Uyên Hưng, TX Tân Uyên, Tỉnh BD</t>
  </si>
  <si>
    <t>1 - Bóng đèn huỳnh quang thải 16 01 06
2 - Giẻ lau dính keo, sơn, dung môi, dầu nhớt 18 02 01
3 - Cặn sơn, sơn và vecni thải 08 01 01
4 - Keo thải  08 03 01</t>
  </si>
  <si>
    <t xml:space="preserve">Ký mới
Ngày 15/11/2021, 
Danh Báo ngưng thu gom
(7)
</t>
  </si>
  <si>
    <t>0972.088.110</t>
  </si>
  <si>
    <t>Ấp Tân Hóa, Xã tân Vĩnh Hiệp, Tân Uyên, BD</t>
  </si>
  <si>
    <t>02743,631,770</t>
  </si>
  <si>
    <t>Công ty TNHH Gỗ Khải Thành</t>
  </si>
  <si>
    <t>Thửa dất số 862, TBĐ số 13, khu phố Tân Hóa, phường Tân Vĩnh Hiệp, thị xã Tân Uyên, tỉnh Bình Dương, Việt Nam</t>
  </si>
  <si>
    <t>0931,230,146</t>
  </si>
  <si>
    <t>lô P11 và P12, đường N1, KCN Nam Tân Uyên, Mở Rộng, P Uyên Hưng, TX Tân Uyên, Tỉnh BD</t>
  </si>
  <si>
    <t>1 - Các loại chất hấp thụ, đả qua sử dụng và bả lộc khác 03 02 07
2 - Bùn thải có các thành phần nguy hại 12 06 05
3 - Chất phụ gia thải có các thành phần nguy hại 03 02 09
4 - Hộp mực in thải 08 02 04
5 - Bóng đèn huỳnh quang thải 16 01 06
6 - Các loại dầu động cơ, hộp số và bôi trơn thải 17 02 04
7 - Bao bì mền thải 18 01 01
8 - Bao bì cứng bằng nhựa 18 01 03
9 - Chất hấp thụ, vật liệu lộc, giẻ lau 18 02 01
10 - Pin, ắc quy chì thải 19 06 01
11 - Các loại chất thải khác chứa thành phần nguy hại 19 12 02</t>
  </si>
  <si>
    <t>02743,376,8106</t>
  </si>
  <si>
    <t xml:space="preserve"> Tân Bình, Phường Tân Hiệp, TX Tân Uyên, Tỉnh BD</t>
  </si>
  <si>
    <t>1 - Vật thể dùng để mai đã qua sử dụng 07 03 10
2 - Phoi từ qua trình gia công tạo hình 07 03 11
3 - Hộp mực in thải 08 02 04
4 - Bùn thải 12 06 06
5 - Bóng đèn huỳnh quang thải 16 01 06
6 - Dầu thủy lực tổng hộp thải 17 01 06
7 - Các loại dâu động cơ, hộp số 17 02 04
8 - Bao bì cứng bằng kim loại 18 01 02
9 - Bao bì cứng bằng nhựa 18 01 03
10 - Chất hấp thụ vật liệu lộc, giẻ lau 18 02 01
11 - Pin, ắc quy chì thải 19 06 01</t>
  </si>
  <si>
    <t>02743,652,712</t>
  </si>
  <si>
    <t>0989,989,866</t>
  </si>
  <si>
    <t>số 02 vsip II-A, đường số 15, KCN VN - Singapore II-A, Xã Vĩnh Tân, TU, BD</t>
  </si>
  <si>
    <t>06502.220.800</t>
  </si>
  <si>
    <t>02743,639,342</t>
  </si>
  <si>
    <t>Ngày 03/12/2018
Nghĩa báo ngưng thu gom</t>
  </si>
  <si>
    <t>Ký mới
HĐHH
Tháng 04/2021
Đức yêu cầu thu gom lại</t>
  </si>
  <si>
    <t>06503.652.267</t>
  </si>
  <si>
    <t>ok hd</t>
  </si>
  <si>
    <t>06503.641.579</t>
  </si>
  <si>
    <t>1 - Bao bì, thùng, can dính hóa chất, dung môi, dầu nhớt thải 18 01 01( rắn )
2 - Dầu nhớt thải 17 02 04( Lỏng)
3 - Mực in thải 08 02 01( rắn )
4 - Giẻ lau, gắng tay dính hóa chất, dung môi 18 02 01( rắn )
5 - Bóng đèn huỳnh quang thải 16 01 06( rắn )
6 - Pin, ắc quy chì thải 19 06 01( rắn )
7 - Dung môi thải 17 08 03 ( Lỏng)
8 - Hóa chất rơi vải thải 19 03 02( rắn )
9 - Hóa chất hết hạn sử dụng thải 19 03 02( rắn )
10 - Than hoạt tính đã qua sử dụng thải 02 11 02( rắn )
11 - Bao bì cứng bằng vật liệu khác 18 01 04( rắn )
12 - Hộp mực in thải 08 02 04( rắn )</t>
  </si>
  <si>
    <t>06503.651.005</t>
  </si>
  <si>
    <t>02743,655,991</t>
  </si>
  <si>
    <t>0908,167,707</t>
  </si>
  <si>
    <t>06503.651.158</t>
  </si>
  <si>
    <t>20/09/24</t>
  </si>
  <si>
    <t>06503.652.920</t>
  </si>
  <si>
    <t>1 - Giẻ lau, bao tay dính dầu 18 02 01
2 - Cặn sơn, sơn và vecni thải có dung môi thải 08 01 01
3 - Bóng đèn huỳnh quang thải 16 01 06</t>
  </si>
  <si>
    <t>0274,6556,744</t>
  </si>
  <si>
    <t>1 - Que hàn thải có các thành phần nguy hại 07 04 01 ( rắn)
2 - Hộp mực in thải 08 02 04( rắn)
3 - Bùn thải có các thành phần nguy hại 12 06 06 ( Bùn)
4 - Bóng đèn huỳnh quang thải 16 01 06( rắn)
5 - Các loại dầu động cơ, hộp số và bôi trơn thải 17 02 04 ( Lỏng)
6 - Bao bì cứng bằng nhựa 18 01 03( rắn)
7 - Chất hấp thụ vật liệu lộc, giẻ lau 18 02 01( rắn)
8 - Pin, ắc quy chì thải 19 06 01( rắn)</t>
  </si>
  <si>
    <t>Ký mới
Ngày 04/10/2021, đức báo ngưng thu gom
(4)</t>
  </si>
  <si>
    <t>02742,461,237</t>
  </si>
  <si>
    <t>Ký mới
Đức báo ngưng thu gom
05/12/2020</t>
  </si>
  <si>
    <t>06503,626,980</t>
  </si>
  <si>
    <t>0918563785</t>
  </si>
  <si>
    <t>083829,5487</t>
  </si>
  <si>
    <t>HĐHH 
tháng 08/2018</t>
  </si>
  <si>
    <t>0839255645</t>
  </si>
  <si>
    <t>06503,681,035</t>
  </si>
  <si>
    <t>30/06/2023</t>
  </si>
  <si>
    <t>Số 234, ĐT 747, Ấp Tân Lương, Xã Thạnh Phước,Tân Uyên, BD</t>
  </si>
  <si>
    <t>HĐHH
 Tháng 09/2018</t>
  </si>
  <si>
    <t>06503629126</t>
  </si>
  <si>
    <t>Ký lại
26/01/2014</t>
  </si>
  <si>
    <t>06503640890</t>
  </si>
  <si>
    <t>Thửa đất số 809, tở bản đồ số 7, KP Bình Hòa 2, P Tân Phước Khánh, TX Tân Uyên, Tỉnh BD</t>
  </si>
  <si>
    <t>số 207, đường ĐT 747A, tổ 1, KP tân lương, thạnh phước,TX tân uyên, BD</t>
  </si>
  <si>
    <t>1 - Cặn sơn, vecni thải có dung môi hữu cơ 08 01 01
2 - Hộp mực in thải 08 02 04
3 - Chất kết dính và chất bịt kin thải có dung môi hữu cơ 08 03 01
4 - Mùn cưa phôi bào, đầu mẫu gỗ, gỗ thừa, ván và gỗ dính thành phần nguy hại 09 01 01
5 - Bùn thải có các thành phần nguy hại 12 06 06
6 - Bóng đèn huỳnh quang thải 16 01 06
7 - Dầu thủy lực tổng hộp thỉa 17 01 06
8 - Các loia5 dầu động cơ, hộp số 17 02 04
9 - Các loại dung môi và hỗn hợp dung môi 17 08 03
10 - Bao bì mền thải 18 01 01
11 - Bao bì cứng bằng kim loại 18 01 02
12 - Bao bì cứng bằng nhựa 18 01 03
13 - Chất hấp thụ, vật liệu lộc, giẻ lau 18 02 01
14 - Pin, ắc quy chì thải 19 06 01
15 - Các loại chất thải khác chứa thành phần nguy hại 19 12 03</t>
  </si>
  <si>
    <t>1 - Bóng đèn huỳnh quang thải 16 01 06
2 - Dầu nhớt tổng hợp thải 17 02 04
3 - Phuy kim loại dính dầu nhớt 18 01 02
4 -bao bì mền dính keo, dầu nhớt 18 01 01
5 - Bao bì nhựa dính keo 18 01 03
6 - Gỗ vụn thải dính thành phần nguy hại 09 01 01
7 - Mực máy in, copy 08 02 01
8 - Ắc quy thải 19 06 01
9 - Keo thải 08 03 01
10 - Giẻ lau, bao tay dính thành phần nguy hại 18 02 01</t>
  </si>
  <si>
    <t>02 lần/tháng</t>
  </si>
  <si>
    <t>1 - Xỉ hàn có các kim loại nặng 07 04 02
2 - Hộp mực in thải 08 02 04
3 - Chất kết dính và chất bịt kín 08 03 01
4 - Bóng đèn huỳnh quang thải 16 01 06
5 - Các loại dầu động cơ, hộp số 17 02 04
6 - Bao bì cứng bằng kim loại 1/8 01 02
7 - Bao bì cứng bằng nhựa 18 01 03
8 - Chất hấp thụ, giẻ lau 18 02 01
9 - Các thiết bị, bộ phận, liên kiện điện tử thải 19 02 06
10 - Pin, Ắc quy chì thải 19 06 01
11 - Các loại chất thải khác chứa thành phần nguy hại 19 12 03</t>
  </si>
  <si>
    <t>02743,725,799</t>
  </si>
  <si>
    <t>số 6, Vsip II -A, Đường số 23, KCN VN - Singapore II -A, Vĩnh Tân, TU, Bình Dương</t>
  </si>
  <si>
    <t>Thửa đất số 154, tờ Bản đồ số 59, KP 7, Phường Uyên Hưng, TX tân Uyên, BD</t>
  </si>
  <si>
    <t>1 - Hộp mực in thải 08 02 04 ( Rắn )
2 - Bùn thải có các thành nguy hại 12 06 06( Rắn )
3 - Bóng đèn huỳnh quang thải 16 01 06( Rắn )
4 - Các loại dầu động cơ, hộp số và bôi trơn thải 17 02 04 ( Lỏng)
5 - Bao bì cứng bằng kim loại 18 01 02( Rắn )
6 - Chất hấp thụ, giẻ lau 18 02 01( Rắn )
7 - Sản phẩn vô cơ có các thành phần nguy hại 19 03 01( Rắn )
8 - Hóa chất hữu cơ tahi3 19 05 04( Rắn )
9 - Pin, ắc quy chì thải 19 06 01( Rắn )
10 - Bao bí mền thải 18 01 01( Rắn )
11 - Bao bì cứng bằng nhựa 18 01 03( Rắn )</t>
  </si>
  <si>
    <t>Theo Yêu cầu
Giấy thấp
500000</t>
  </si>
  <si>
    <t>Theo yêu cầu</t>
  </si>
  <si>
    <t>01 lần/1tháng</t>
  </si>
  <si>
    <t>Số 15 Vsip II-A, đường số 25, KCN VN - Singapore II-A, Phường Vĩnh tân, TX tân Uyên, Bình Dương</t>
  </si>
  <si>
    <t>1 - Chất phụ gia thải cò các thành phần nguy hại 03 02 09
2 - Chất thải có silic hữu cơ thải 03 02 10
3 - Hộp mực in thải 08 02 04
4 - Bóng đèn huỳnh quang thải 16 01 06
5 - Dầu thủy lực tổng hộp thải 17 01 06
6 - Các loại dầu động cơ, hộp số và bôi trơn thải 17 02 04
7 - Bao bì mền thải 18 01 01
8 - Bao bì cứng bằng kim loại 18 01 02
9 - Bao bì cứng bằng nhựa 18 01 03
10 - Chất hấp thụ, vật liệu lộc, giẻ lau 18 02 01
11 - Hóa chất và hỗn hợp hóa chất thải phòng thí nghiệp 19 05 02
12 - Pin, ắc quy chì thải 19 06 01</t>
  </si>
  <si>
    <t>02743.803.009</t>
  </si>
  <si>
    <t>Lô N12, KCN Nam Tân Uyên Mở Rộng, TX tân Uyên, BD</t>
  </si>
  <si>
    <t>1 - Cặn sơn, sơn và vecni thải có dính dung môi hửu cơ 08 01 01
2 - Hộp mực in thải 08 02 04
3 - Chất kết dính và chất bịt kín thải 08 03 01
4 - Bóng đèn huỳnh quang thải 16 01 06
5 - Các loại dầu động cơ, hộ số và bôi trơn thải 17 02 04
6 - Các loại dung môi 17 08 03
7 - Bao bì mền thải 18 01 01
8 - Bao bì cứng bằng kim loại 18 01 02
9 - Chất hấp thụ, giẻ lau 18 02 01
10 - Bao bì cứng bằng nhựa 18 01 03
11 - Pin, ắc quy chì thải 19 06 01</t>
  </si>
  <si>
    <t>02743,648,985</t>
  </si>
  <si>
    <t>06503,624,228</t>
  </si>
  <si>
    <t>số 22 Vsip II-A, đường số 30, KCN VN-Singapore II-A, Xã Vĩnh Tân, TX Tân Uyên, Tỉnh BD</t>
  </si>
  <si>
    <t>1 - Mực in thải có các thành phần nguy hại 08 02 01
2 - Hộp mực in thải có các thành phần nguy hại 08 02 04
3 - Bùn thải có các thành phần nguy hại 12 06 06
4 - Bóng đèn huỳnh quang thải 16 01 06
5 - Các loại dầu động cơ, hộp số và bôi trơn thải 17 02 04
6 - Các loại dung môi và hỗn hợp dung môi 17 08 03
7 - Bao bí cứng bằng kim loại 18 01 02
8 - Bao bì cứng bằng nhựa 18 01 03
9 - Chất hấp thụ, giẻ lau 18 02 01
10 - Hóa chất và hỗn hợp hóa chất phòng thí nghiệm 19 05 02
11 - Pin, ắc quy chì thải 19 06 01
12 - Các loại chất thải khác chứa thành phần nguy hại 19 12 03</t>
  </si>
  <si>
    <t>0933,348,354
A Lân</t>
  </si>
  <si>
    <t>06503642088</t>
  </si>
  <si>
    <t>02743,803,720</t>
  </si>
  <si>
    <t>02743,639,512</t>
  </si>
  <si>
    <t>Ký mới
Ngày 27/11/2020, hiển báo ngưng thu gom</t>
  </si>
  <si>
    <t>02743,803,054</t>
  </si>
  <si>
    <t>số 12 vsip II-A, đường Hòa Bình, KCN Việt Nam, singapore, xã Vĩnh Tân, TX Tân Uyên, BD</t>
  </si>
  <si>
    <t>0905,261,986</t>
  </si>
  <si>
    <t>số 8B, Vsip II-A, đường số 18, KCN VN - Singapore II-A, Vĩnh tân, TU, BD</t>
  </si>
  <si>
    <t>02742,221,425</t>
  </si>
  <si>
    <t>02838.990.603</t>
  </si>
  <si>
    <t>02743,652,738</t>
  </si>
  <si>
    <t>Số 8, Vsip 2-A, đường số 15, Khu CN Viện Nam Singapore II, P Vĩnh tân, TX Tân Uyên, Tỉnh Bình Dương</t>
  </si>
  <si>
    <t>0978,003,968</t>
  </si>
  <si>
    <t>số 17A Vsip IIA, Đường số 27, KCN VN Singapore II-A, Xạ Vĩnh Tân, TX Tân Uyên, BD</t>
  </si>
  <si>
    <t>1 - Hộp mực in thải 08 02 04
2 - chất kết dính và chất bịt kín thải 08 03 01
3 - Bùn thải lẩn chất kết dính và chất bịt kín 08 03 02
4 - Bóng đèn huỳnh quang thải 16 01 06
5 - Dầu thủy lực, tổng hợp thải 17 01 06
6 - Dầu động cơ, hộp số và bôi trơn thải 17 02 04
7 - Các loại dung môi 17 08 03
8 - Bao bì mền thải 18 01 01
9 - Bao bì cứng bằng kim loại 18 01 02
10 - Bao bì cứng bằng nhựa 18 01 03
11 - Chất hấp thụ, giẻ lau 18 02 01
12 - Pin, ắc quy chì thải 19 06 01
13 - Các loại chất thải khác chứa tp nguy hại 19 12 02</t>
  </si>
  <si>
    <t>02742,222,655</t>
  </si>
  <si>
    <t>31/12/2023</t>
  </si>
  <si>
    <t xml:space="preserve"> số 3A, đường số 30, KCN Vsip IIA, Xã Vĩnh Tân, Huyện Tân Uyên, Tỉnh BD</t>
  </si>
  <si>
    <t>02743,747,960</t>
  </si>
  <si>
    <t>19/01/2022</t>
  </si>
  <si>
    <t>số 6, vsip II-A, đường số 29, KCN VN -Singapore II-A, P Vĩnh Tân, TX tân Uyên, Bình Dương</t>
  </si>
  <si>
    <t>02742,222,075</t>
  </si>
  <si>
    <t>Danh báo ngưng ngày 13/05/2022</t>
  </si>
  <si>
    <t>10 vsip II-A, đường số 29, KCN VN - Singapore II-A, Phường Vĩnh Tân, TX Tân Uyên, Tỉnh BD</t>
  </si>
  <si>
    <t>02742,222,397</t>
  </si>
  <si>
    <t>số 69, tổ 2, ấp 6, Xã Vĩnh tân, TX Tân Uyên, Bình Dương</t>
  </si>
  <si>
    <t>02743,210,605</t>
  </si>
  <si>
    <t>số 9A Vsip II-A, Đường số 14, KCN VN-Singapore II-A, Xã Vĩnh Tân, TX Tân Uyên, Bình Dương</t>
  </si>
  <si>
    <t>hàng tuần</t>
  </si>
  <si>
    <t>ok hđ</t>
  </si>
  <si>
    <t>0978,484,094
Diệu</t>
  </si>
  <si>
    <t>02693,759,788</t>
  </si>
  <si>
    <t>02743.653.990</t>
  </si>
  <si>
    <t>1 - Cặn sơn, sơn và vecni thải có chứa dung môi hữu cơ hoặc các thành phần nguy hại 08 01 01
2 - Hộ mực in thải 08 02 04
3 - Bóng đèn huỳnh quang thải 16 01 06
4 - Các loại dầu động cơ, hộp số 17 02 04
5 - Các loại dung môi thải 17 08 03
6 - Bao bì mền thải 18 01 01
7 - Bao bì cứng bằng kim laoi5 18 01 02
8 - Bao bì cứng bằng nhựa 18 01 03
9 - Chất hấp thụ, vật liệu lộc, giẻ lau 18 02 01
10 - Pin, ắc quy chì thải 19 06 01
11 - Keo tahi3 08 03 01
12 - Gỗ vụn dính thành phần nguy hại 09 01 01</t>
  </si>
  <si>
    <t>02743,632,318</t>
  </si>
  <si>
    <t>tới lịch k gom để HĐ xuống mới cho gom</t>
  </si>
  <si>
    <t>0854476,260</t>
  </si>
  <si>
    <t>báo ngưng ngày 02/08/2022</t>
  </si>
  <si>
    <t>Công Ty TNHH Hồng Vạn
74/003.045.T</t>
  </si>
  <si>
    <t>Lô D1, đường CN8&amp;CN11, Khu công nghiệp Tân Bình, xã Tân Bình, Huyện Bắc Tân Uyên, tỉnh Bình Dương.</t>
  </si>
  <si>
    <t>số 053, đường DX07, ấp Vĩnh An, Xã Tân Vĩnh Hiệp, TX Tân Uyên, BD</t>
  </si>
  <si>
    <t>02838,228,124</t>
  </si>
  <si>
    <t>06503,803,170</t>
  </si>
  <si>
    <t>Thửa đất số 173, tờ bản đồ số 11, ấp 6, Xã Vĩnh tân, TX Tân Uyên, BD</t>
  </si>
  <si>
    <t>06503,624,221</t>
  </si>
  <si>
    <t>Ok HĐ
quyền báo ngưng thu gom
15/09/2021
(7)</t>
  </si>
  <si>
    <t>số 23, vsip Ii-A, đường số 25, KCN VN - Singapore II-A, Vĩnh Tân, Tân Uyên, Bình Dương</t>
  </si>
  <si>
    <t>02743,803,423</t>
  </si>
  <si>
    <t>02742,222,690</t>
  </si>
  <si>
    <t>06503,896,666</t>
  </si>
  <si>
    <t>02742,222,168</t>
  </si>
  <si>
    <t>02743,715,539</t>
  </si>
  <si>
    <t>Nhà Xưởng 3, Thửa đất số 1569, tờ bản đồ số 11, CCN Phú Chánh, P Phú Chánh, TX Tân Uyên, Tỉnh Bình Dương</t>
  </si>
  <si>
    <t>1 - Dầu nhớt thải 17 02 03
2 - Giẻ lau, bao tay dính thành phần nguy hại 18 02 01</t>
  </si>
  <si>
    <t>02743,628,389</t>
  </si>
  <si>
    <t>Lô D, đường N5-D6, Cụm CN Phú Chánh 1, Xã Phú Chánh, TX tân Uyên, BD</t>
  </si>
  <si>
    <t>2,4</t>
  </si>
  <si>
    <t>Ok HĐ
HĐHH
04/2020</t>
  </si>
  <si>
    <t>02743,802,300</t>
  </si>
  <si>
    <t>Lô F, Cụm CN Phú Chánh 1, Xã Phú Chánh, TX Tân Uyên, BD</t>
  </si>
  <si>
    <t>02743,628,558</t>
  </si>
  <si>
    <t>Lô 2F3, đường CN8, KCN Tân Bình, Xã tân Bình, Huyện Bắc tân Uyên, Tỉnh Bình Dương</t>
  </si>
  <si>
    <t>02743.803.611</t>
  </si>
  <si>
    <t>Thửa đất 378, tờ bản đồ số 33, KP Bình Khánh, P Khánh Bình, TX Tân Uyên, Bình Dương</t>
  </si>
  <si>
    <t>1 - Hộp mực in thải 08 02 04 ( Rắn)
2 - Bùn thải có các thành phần nguy hại 12 06 06 ( Bùn )
3 - Bóng đèn huỳnh quang thải 16 01 06( Rắn)
4 - Các loại dầu động cơ, hộp số và bôi trơn thải 17 02 04 ( Lỏng)
5 - Các loại dung môi 17 08 03 ( Lỏng)
6 - Bao bì mền 18 01 01( Rắn)
7 - Bao bì cứng thải bằng kim loại 18 01 02( Rắn)
8 - Bao bì cứng thải bằng nhựa 18 01 03( Rắn)
9 - Chât hấp thụ vật liệu lộc, giẻ lau 18 02 01( Rắn)
10 - Hóa chất hữu cơ thải 19 05 04
11 - Pin, ắc quy chì thải 19 06 01
12 - Chất kết dính và chất bịt kín thải có dính dduing môi 08 03 01 (Rắn/ Lỏng)</t>
  </si>
  <si>
    <t>0902,767,237</t>
  </si>
  <si>
    <t>Thửa đất số 9, tờ bản đồ số 3, KP Tháp Chàm, P Thạnh Phước, Thị Xã Tân Uyên, Bình Dương</t>
  </si>
  <si>
    <t>1 - Bao bì mền thải 18 01 01
2 - Thùng nhựa dính thành phần nguy hjai5 18 01 03
3 - Thùng kim loại dính thành phần nguy hại 18 01 02
4 - Giẻ lau dính keo, dung môi 18 02 01
5 - Keo thải 08 03 01
6 - Cặn sơn thải 08 01 01
7 - Dầu nhớt thải 17 02 04
8 - Hộp mực in thải 08 02 04
9 - Bóng đèn huỳnh quang thải 16 01 06
10 - Pin, ắc quy chì thải 19 06 01</t>
  </si>
  <si>
    <t>01 lần/tháng
21/12/2020, 
đức báo ngưng thu gom</t>
  </si>
  <si>
    <t>0919,506,658</t>
  </si>
  <si>
    <t>Thửa đất số 505, tờ bản đồ số 3, đường DT 746, KP Tân Hội, P Tân Hiệp, TX Tân Uyên, Bình Dương</t>
  </si>
  <si>
    <t>02743.655.898</t>
  </si>
  <si>
    <t>06503.814.048</t>
  </si>
  <si>
    <t>Công ty TNHH Phiên Nhiên
74.001.553.T</t>
  </si>
  <si>
    <t>02743,785,788</t>
  </si>
  <si>
    <t>02743.803.965</t>
  </si>
  <si>
    <t>0703,614,651</t>
  </si>
  <si>
    <t>Chi Nhánh Công Ty TNHH Biomin Việt Nam tại Bình Dương
74,003,869,T</t>
  </si>
  <si>
    <t>số 6, Vsip 2-A, số 20, KCN VN - Singapore II-A, Xã Vĩnh Tân, TX tân Uyên, Tỉnh BD</t>
  </si>
  <si>
    <t>02742,221,288</t>
  </si>
  <si>
    <t>0283,825,100</t>
  </si>
  <si>
    <t>số 12 vsip II-A, đường số 24, KCN VN Singapore II-A, Vĩnh Tân, TU, BD</t>
  </si>
  <si>
    <t>02742,221,770</t>
  </si>
  <si>
    <t>02743,803,330</t>
  </si>
  <si>
    <t>2,4,6,8,10,12</t>
  </si>
  <si>
    <t>02838,201,754</t>
  </si>
  <si>
    <t>Ký mới
Ngày 04/11/2021, Đức báo ngưng thu gom</t>
  </si>
  <si>
    <t>0703,824,537
chị Hạnh</t>
  </si>
  <si>
    <t>ấp 3, Xã Thường Tân, Huyện Bắc Tân Uyên, Bình Dương</t>
  </si>
  <si>
    <t>1 - Chất hấp thụ vật liệu lộc, giẻ lau, vải bảo vệ nhiễm tp nguy hại 18 02 01
2 -Các loại dầu động cơ, hộp số và bôi trơn thải khác 17 02 04
3 - Bao bì cứng bằng kim loại 18 01 02
4 - Bao bì cứng bằng nhựa 18 01 03
5 - Pin, ắc quy chì thải 19 06 01
6 - Bóng đèn huỳnh quang thải 16 01 06
7 - Bùn thải có các thành phần nguy hại 10 02 03
8 - Phẩm màu và chất nhuộm thải có các thành phần nguy hại 10 02 02
9 - Hộp mực in thải có các thành phần nguy hại 08 02 04</t>
  </si>
  <si>
    <t>02743,681,001,</t>
  </si>
  <si>
    <t>Công ty TNHH Sản xuất - Thương mại - Dịch vụ Harvest</t>
  </si>
  <si>
    <t xml:space="preserve">Thưa đất số 370, tờ bản đố số 33, đường Khánh Bình 26, khu phố Khánh Lộc, phường Khánh Bình, thị xã Tân Uyên, tỉnh Bình Dương </t>
  </si>
  <si>
    <t>1- Bao bì cứng bằng kim loại bao gồm bình áp suất rỗng hoàn toàn 18 01 02 (rắn)
2-Chất kết dính và chất bịt kín thài có dung môi hữu cơ hoặc các thành phần nguy hại khác 08 03 01 (rắn)
3- Bóng đèn huỳnh quang và chát loại thủy tin hoạt tính khác 16 01 06 (rắn)
4- Hộp mực in thải có chứa các thành phần nguy hại 08 02 04 (rắn)
5- Bao bì mềm  18 01 01 (rắn)
6- Chất hấp thụ, vật liệu lọc, giẻ lau, vải bảo vệ thải bị nhiễm các thành phần nguy hại 18 02 01 (rắn)
7- Bùn thải có các thành phần nguy hại từ hệ thống xử lý nước thải công nghiệp khác 12 06 05 (bùn)
8- Bao bì cứng bằng nhựa 18 01 03 (rắn)
9- Các loại dung môi và hổn hợp dung môi thải 17 08 03 (lỏng)
10- Dầu động cơ hợp số và bôi trơn tổng hợp thải 17 02 04 (lỏng)
11- Pin, ắc quy chì thải  19 06 01 (rắn)
12 - Mực in thải có chứ thành phàn nguy hại 08 02 01 (rắn)
13- Chất thải y tế 13 01 01 (rắn)</t>
  </si>
  <si>
    <t>02743629666</t>
  </si>
  <si>
    <t>Khu Phố 8, Phường Uyên Hưng, TX Tân Uyên, Bình Dương</t>
  </si>
  <si>
    <t xml:space="preserve">01 lần/1tháng
</t>
  </si>
  <si>
    <t>02743,641,597</t>
  </si>
  <si>
    <t>Thửa đất số 174, tờ bản đồ số 59, KP 7, Phường Uyên Hưng, TX Tân Uyên, Tỉnh Bình Dương</t>
  </si>
  <si>
    <t>1 - Cặn sơn, sơn và vecni thải có dung môi hữu cơ 08 01 01
2 - Bùn thải sơn hoăc vecni có dung môi hữu cơ hoăc các thành phần nguy hại 08 01 02
3 - Hộp mực in thải 08 02 04
4 - Chất kết dính và chất bịt kín thải có dung môi hữu cơ 08 03 01
5 - Bùn thải có các thành phần nguy hại 12 06 06
6 - Bóng đèn huỳnh quang thải 16 01 06
7 - Các loại dầu động cơ, hộp số và bôi trơn thải khác 17 02 04
8 - Các loại dung môi và hỗn hợp dung môi 17 08 03
9 - Bao bì cứng bằng kim laoi5 18 01 02
10 - Bao bì cứng bằng nhựa 18 01 03
11 - Chất hấp thụ vật liệu lộc, giẻ lau 18 02 01
12 - Pin, ắc quy chì thải 19 06 01
13 - Các loại chất thải khác có các thành phần nguy hại 19 12 02</t>
  </si>
  <si>
    <t>02743,639,208</t>
  </si>
  <si>
    <t>4,30.09</t>
  </si>
  <si>
    <t>06503,800,780</t>
  </si>
  <si>
    <t>Lô N13, đường N2, KCN Nam Tân Uyên Mở Rộng, Xã Hội Nghĩa, TX tân Uyên, Tỉnh BD</t>
  </si>
  <si>
    <t>1 lần / tháng</t>
  </si>
  <si>
    <t>02743,800,691</t>
  </si>
  <si>
    <t>02743,822,319</t>
  </si>
  <si>
    <t>số 8, vsip II-A, đường số 31, KCN -Singapore II-A, Xã Vĩnh tân, TX Tân Uyên, Tỉnh BD</t>
  </si>
  <si>
    <t xml:space="preserve">Ngày </t>
  </si>
  <si>
    <t>88623701,6000</t>
  </si>
  <si>
    <t>Số 2, Vsip II-A, đường số 11, Khu CN Vsip Ii-A, Xã Vĩnh tân, TU, Bình Dương</t>
  </si>
  <si>
    <t>0846002073</t>
  </si>
  <si>
    <t>02742,220,790</t>
  </si>
  <si>
    <t>Kp Bình Chánh Đông, P Khánh Bình, TX Tân Uyên, Bình Dương</t>
  </si>
  <si>
    <t>1 - Keo thải 08 03 01
2 - Cặn sơn thải 08 01 01
3 - Giẻ lau 18 02 01</t>
  </si>
  <si>
    <t>0982,885,065
Huệ</t>
  </si>
  <si>
    <t>Lô O-1, đường N8, KCN Nam Tân Uyên, TX Tân Uyên, Bình Dương</t>
  </si>
  <si>
    <t xml:space="preserve">1 - Chất hấp thụ vật liệu lộc, giẻ lau 18 02 01
2 - Các loại dầu động cơ, hộp số và bôi trơn thài khác 17 02 04
3 - Bao bì cứng bằng kim loại 18 01 02
4 - Bóng đèn huỳnh quang thải 16 01 06
5 - Pin, ắc quy chì thải 19 06 01
6 - Hộp mực in thải có chứa thành phần nguy hại 08 02 04
7 - Bao bì cứng bằng nhựa 18 01 03
8 - Bao bì mền thải 18 01 01
9 - Hóa chất và hỗn hơp hóa ch6at1 phòng thí nghiệm 19 05 02
10 - Hóa chất vô cơ thải 19 05 03
11 - Hóa chất hữu cơ thải 19 05 04
</t>
  </si>
  <si>
    <t>02743,653,331</t>
  </si>
  <si>
    <t>Thửa đất số 155, tờ bản đồ số 43,44, Kp 5, Uyên Hưng, TX tân Uyên, BD</t>
  </si>
  <si>
    <t>02743,712,210</t>
  </si>
  <si>
    <t>5B Vsip II-A, đường số 30, KCN VN, singapore II-A, Xã Vĩnh Tân, TX T6n Uyên, BD</t>
  </si>
  <si>
    <t>0902,466,033
Loan</t>
  </si>
  <si>
    <t>0989,633,529
A Tưởng</t>
  </si>
  <si>
    <t>02742,222,618</t>
  </si>
  <si>
    <t>số 10 vsip II-A, đường số 12, KCN VN - Singapore II-A, P Vĩnh Tân, TX tân Uyên, Bình Dương</t>
  </si>
  <si>
    <t>02743,801,088</t>
  </si>
  <si>
    <t>Số 26, đường số 26, KCN Vsip II-A, Xã Vĩnh Tân, TX tân Uyên, Tỉnh BD</t>
  </si>
  <si>
    <t>số 7, Vsip II-A, đường số 19, KCN Vsip II A, TX tân Uyên, BD</t>
  </si>
  <si>
    <t xml:space="preserve">Công ty TNHH Công Nghiệp Thực Phầm Great Eastern
</t>
  </si>
  <si>
    <t>Sô 8B Vsip II-A, đường số 24, khu công nghiệp Việt Nam - Singapore II-A, phường Vĩnh Tân, Thị xã Tân Uyên, Bình Dương, Việt Nam</t>
  </si>
  <si>
    <t>1 - Bao bì mềm thải 18 01 01 (rắn)
2 - Chất hấp thụ, vật liệu lọc (kể cả vật liệu  lọc dầu), giẻ lau, vải bảo vệ thải bị nhiễm các thành phần nguy hại 18 02 01 (rắn)
3- Bóng đèn huỳnh quang và các loại chất thải có chứa thuỷ ngân 16 01 06 (rắn)
4 - Dầu nhớt thải 17 02 04 (lỏng)
5 - Bao bì cứng thải bằng kim loại bao gồm cả bình chứa áp suất bảo đảm rỗng hoàn toàn 18 01 02
6- Hộp mực in thải có chứa TPNH 08 02 04 (rắn)
7 - Pin, ắc quy chì thải 19 06 01 (rắn)
8- Bùn thải có các thành phần nguy hại từ quá trình xử lý nước thỉa 12 06 05 (rắn)
9- Nhựa trai đổi i on đã qua bão hòa hay qua sử dụng 07 01 09 (rắn)</t>
  </si>
  <si>
    <t>Lô B, đường N6b, Cụm công nghiệp Phú Chánh 1, phường Phú Chánh, Tx Tân Uyên, tỉnh Bình Dương VN</t>
  </si>
  <si>
    <t>1 - Bao bì cứng bằng kim loại 18 01 02( Rắn )
2 - Chất kết dính và chất bịt kín 08 03 01( Rắn )
3 - Bóng đèn huỳnh quang thải 16 01 06( Rắn )
4 - Hộp mực in thải 08 02 04( Rắn )
5 - Bao bì mền thải 18 01 01( Rắn )
6 - Chất hấp thụ, vật liệu lộc, giẻ lau 18 02 01( Rắn )
7 - Bùn thải có các thành phần nguy hại 12 06 06 ( Bùn )
8 - Bao bì cứng bằng nhựa 18 01 03( Rắn )
9 - Các loại dung môi và hỗn hợp dung môi 17 08 03 ( Lỏng)
10 - Dầu động cơ, hộp số và bôi trơn thải 17 02 03( Lỏng)
11 - Pin, ắc quy chì thải 19 06 01( Rắn )
12 - Mực in thải có các thành phần nguy hại 08 02 01
13 - Chất thải y tế 13 01 01 ( Rắn )</t>
  </si>
  <si>
    <t>31/03/2022</t>
  </si>
  <si>
    <t>0908,058,482
Hồng</t>
  </si>
  <si>
    <t>02743,815,600</t>
  </si>
  <si>
    <t>Đường số 14, KCN Vsip II, Tân Uyên, BD</t>
  </si>
  <si>
    <t>06502.220.266</t>
  </si>
  <si>
    <t>LỊCH THU GOM RÁC CÔNG NGHIỆP (Tân Uyên)</t>
  </si>
  <si>
    <t>04 lần/tháng</t>
  </si>
  <si>
    <t>06503626557</t>
  </si>
  <si>
    <t>Chất thải công nghiệp: nylon, dây đai, mút xốp, giấy vụn</t>
  </si>
  <si>
    <t>06503.653.318</t>
  </si>
  <si>
    <t xml:space="preserve">Bao bì giấy, nilon, dây đai, mút xốp, giấy vụn </t>
  </si>
  <si>
    <t xml:space="preserve">Nylon, ây đai, mút xốp, giấy vụn, gỗ vụn, carton </t>
  </si>
  <si>
    <t>02743,862,553</t>
  </si>
  <si>
    <t>20/08/24</t>
  </si>
  <si>
    <t>Rác công nghiệp: giấy vụn, carton, ván ép, gỗ vụn, palet thải, bao bì nhựa, nhựa thải, dây đai, nilon, mút xốp</t>
  </si>
  <si>
    <t>0913,452,768</t>
  </si>
  <si>
    <t>xe thùng</t>
  </si>
  <si>
    <t>Ký lại
28/06/2014</t>
  </si>
  <si>
    <t xml:space="preserve">Nylon, dây đai, mút xốp, carton, Giấy vụn, gỗ vụn </t>
  </si>
  <si>
    <t>047/07/2021</t>
  </si>
  <si>
    <t xml:space="preserve">01 lần/
 tháng
</t>
  </si>
  <si>
    <t>02743,641,380</t>
  </si>
  <si>
    <t>02743,648,083</t>
  </si>
  <si>
    <t>7,30.09</t>
  </si>
  <si>
    <t xml:space="preserve">Nylon, carton, dây đai, mút xốp, gỗ vụn, giấy vụn </t>
  </si>
  <si>
    <t>chất thải công nghiệp: Nylon, dây đai, mút xốp, giấy vụn, giấy vụn</t>
  </si>
  <si>
    <t>06503.732.836</t>
  </si>
  <si>
    <t>Nylon, dây đai, mút xốp, gỗ vụn, Giấy vụn, Bìa carton</t>
  </si>
  <si>
    <t xml:space="preserve"> Lô đất S24, A28, A29 Đường số 5, Cụm công nghiệp Uyên Hưng, Phường Uyên Hưng, TX Tân Uyên, Bình Dương</t>
  </si>
  <si>
    <t>Nylon lon, dây đai, mút xốp, giấy vụn</t>
  </si>
  <si>
    <t>Nylong, dây đai, mút xốp, giấy vụn, carton</t>
  </si>
  <si>
    <t>02743632161</t>
  </si>
  <si>
    <t>20/07/2024</t>
  </si>
  <si>
    <t>Rác công nghiệp: nylon, dây đai, mút xốp, gỗ vụn, giấy vụn, màng PE</t>
  </si>
  <si>
    <t>02743,632,272</t>
  </si>
  <si>
    <t>lô F3, đường N5, KCN Nam Tân Uyên, TU , BD</t>
  </si>
  <si>
    <t>06503653073</t>
  </si>
  <si>
    <t>Rác công nghiệp: Giấy nhám, đá mài</t>
  </si>
  <si>
    <t>06503.653.741</t>
  </si>
  <si>
    <t>Rác công nghiệp: mút xốp, dây đai, giấy vụn, gỗ vụn, carton, nolon, tro thải</t>
  </si>
  <si>
    <t>Lô P4, Đường D7, KCN Nam Tân Uyên, Khánh Bình, TX Tân Uyên, BD</t>
  </si>
  <si>
    <t>Chất thải CN không nguy hại: nilon, giấy vụn, mút xốp, dây đay</t>
  </si>
  <si>
    <t>06503.653.601</t>
  </si>
  <si>
    <t>Kp Bình Khánh, xã Khánh Bình, Tân Uyên, BD</t>
  </si>
  <si>
    <t>CN: Bao bì, giấy, bột nhám, nylon, mút xốp, dây đai, carton</t>
  </si>
  <si>
    <t>06503.653.520</t>
  </si>
  <si>
    <t>06503.625.345</t>
  </si>
  <si>
    <t>02743,625,825</t>
  </si>
  <si>
    <t>06503,610,613</t>
  </si>
  <si>
    <t>06503.631.113</t>
  </si>
  <si>
    <t xml:space="preserve">Theo Yêu Cầu
</t>
  </si>
  <si>
    <t xml:space="preserve"> lần/tháng</t>
  </si>
  <si>
    <t>02743,610,600</t>
  </si>
  <si>
    <t xml:space="preserve">Giấy vụn, carton, ván ép, gỗ vụn, palet thải, bao bì nhựa, nhựa thải, dây đai, nilon, mút xốp </t>
  </si>
  <si>
    <t>Nylon, dây đai, mút xốp, gỗ vụn, giấy vụn</t>
  </si>
  <si>
    <t>02743,610,336</t>
  </si>
  <si>
    <t>13/01/2022</t>
  </si>
  <si>
    <t>06503.631.075</t>
  </si>
  <si>
    <t>Thửa đất số 411, tờ bản đồ số 5, ấp 4, xã Hội Nghĩa, TX Tân Uyên, tỉnh Bình Dương</t>
  </si>
  <si>
    <t>1 - Giaấy vụn, nhựa thải, carton, nilon, mút xốp, gỗ vụn, vải vụn</t>
  </si>
  <si>
    <t>0964,245,573
Trâm</t>
  </si>
  <si>
    <t>Rác công nghiệp: nylon, mút xốp, xà bần</t>
  </si>
  <si>
    <t>Không có HĐ</t>
  </si>
  <si>
    <t>06503,629,126</t>
  </si>
  <si>
    <t>thửa đất số 56,57, 58, 583, tờ bản đồ số 12,15, ấp 1, Xã Hội Nghĩa, Tân Uyên, BD</t>
  </si>
  <si>
    <t>Carton, nylon, mút xốp, gỗ vụn, dây đai, mùn cưa</t>
  </si>
  <si>
    <t>Phường Tân Phước Khánh, Tân Uyên, BD</t>
  </si>
  <si>
    <t>Rác công nghiệp: nilon, carton, dây đai, mút xốp</t>
  </si>
  <si>
    <t>06503.612.491</t>
  </si>
  <si>
    <t>Số 7 Vsip II-A, Đường số 19, KCN Vsip II-A, TX Tân Uyên, Bình Dương</t>
  </si>
  <si>
    <t>01 lần/tuần</t>
  </si>
  <si>
    <t>06503.628.073'</t>
  </si>
  <si>
    <t>Số 9, Vsip II-A đường số 14, Vsip II-A, Vĩnh Tân, Tân Uyên - Bình Dương,</t>
  </si>
  <si>
    <t>06502.221.302</t>
  </si>
  <si>
    <t>Rác công nghiệp: nylon, dây đai, mút xốp, gỗ vụn, mùn cưa</t>
  </si>
  <si>
    <t>03957,018,59
Chị Thảo</t>
  </si>
  <si>
    <t>0933,811,068
Chị Thắm</t>
  </si>
  <si>
    <t>Nylon, giấy vụn, mút xốp, dây đai, gổ vụn</t>
  </si>
  <si>
    <t>Số 12, vsip II-A, P Vĩnh Tân, TX tân Uyên, Tỉnh Bình Dương</t>
  </si>
  <si>
    <t>Nylon 1 lớp, màng chết, giấy tráng ghép PE, Giấy tráng ghép nhôm, Giấy tráng ghép Mpet, dây đai, mút xốp giấy vụn</t>
  </si>
  <si>
    <t>1 xe
ép</t>
  </si>
  <si>
    <t>Nylon, dây đai, mút xốp, gỗ vụn, giấy vụn, carton</t>
  </si>
  <si>
    <t>Lô 1 G6-1G7-1G8, đường CN2-CN9, KCN Tân Bình, Thị Trấn Tân Bình Tân Uyên, BD</t>
  </si>
  <si>
    <t>Nylon, dây đai, mút xốp, giấy vụn, gỗ vụn, carton</t>
  </si>
  <si>
    <t>02743.878.666</t>
  </si>
  <si>
    <t>Lô M1, M2, M7, M8, Đường N2, N3, KCN Nam Tân Uyên, mở rộng, TX Tân Uyên, BD</t>
  </si>
  <si>
    <t>06503.658.037</t>
  </si>
  <si>
    <t>Cẩu
có thể lấy thùng dc</t>
  </si>
  <si>
    <t>Nylon, dây đai mút xốp, carton, mẹc sắt, phế liệu kim loại vụn, bụi kim loại</t>
  </si>
  <si>
    <t>1 - Ván ép, giấy vụn, pallet, gỗ vụn, giấy nhám
2 - Sản phẩm hư, khuôn hư</t>
  </si>
  <si>
    <t>Theo Yêu Cầu
Ngày 07/10/2021, Đức báo lấy lại</t>
  </si>
  <si>
    <t>0973,159,910
chị Hạnh</t>
  </si>
  <si>
    <t>01/03/24</t>
  </si>
  <si>
    <t>Nylon, dây đai, mút xốp, gỗ vụn, giấy vụn,bìa carton</t>
  </si>
  <si>
    <t>02743,688,891</t>
  </si>
  <si>
    <t xml:space="preserve">Nylon, dây đai, mút xốp, gỗ vụn, giấy vụn </t>
  </si>
  <si>
    <t>0888817788</t>
  </si>
  <si>
    <t>Ván dầu thải từ quá trình nấu ăn</t>
  </si>
  <si>
    <t>0933,819,792
A Đức</t>
  </si>
  <si>
    <t>bồn xanh</t>
  </si>
  <si>
    <t xml:space="preserve">Da vụn, nylon, dây đai, mút xốp, vải vụn, gỗ vụn, giấy vụn </t>
  </si>
  <si>
    <t xml:space="preserve">Ngày 03/07/2018. </t>
  </si>
  <si>
    <t>06503,222,090</t>
  </si>
  <si>
    <t>xe nhỏ</t>
  </si>
  <si>
    <t>1- Dầu mỡ nhà ăn (lỏng)</t>
  </si>
  <si>
    <t>0974152573</t>
  </si>
  <si>
    <t>25/07/2022</t>
  </si>
  <si>
    <t>1 - Nylon, dây đai, mút xốp, giấy vụn
2 - Kính vỡ</t>
  </si>
  <si>
    <t>02742,220,233</t>
  </si>
  <si>
    <t>02743,568,333</t>
  </si>
  <si>
    <t>Lô H11, H12, Đường N3, KCN Nam tân Uyên Mỡ Rộng, P Hội Nghĩa tân Uyên, Tỉnh Bình Dương</t>
  </si>
  <si>
    <t>0869208,028</t>
  </si>
  <si>
    <t>30/05/24</t>
  </si>
  <si>
    <t>02743,616,120</t>
  </si>
  <si>
    <t>02743,610,120</t>
  </si>
  <si>
    <t>02743,624,228</t>
  </si>
  <si>
    <t>02743,681,818</t>
  </si>
  <si>
    <t>TBS 262, TBDS 13, KP Khánh Hội, Phường Tân Phước Khánh, TX tân Uyên, Bình Dương</t>
  </si>
  <si>
    <t>Rác công nghiệp: Giấy nhám vụn, bao bì carton, nilon, mút xốp</t>
  </si>
  <si>
    <t>0933,780,687</t>
  </si>
  <si>
    <t>02742,220,168</t>
  </si>
  <si>
    <t>02743,803,911</t>
  </si>
  <si>
    <t>số 7, Vsip II-A, Đường số 30, KCN VN - Singapore II-A, Xã Vĩnh Tân, TX tân Uyên, BD</t>
  </si>
  <si>
    <t>Túi nylon, giấy vụn, dây đai, panel hư, gỗ vụn.</t>
  </si>
  <si>
    <t>02742,222,479</t>
  </si>
  <si>
    <t>Lô F1, đường N6b, Cụm Công Nghiệp Phú Chánh 1, xã Phú Chánh, TX Tân Uyên, Tỉnh Bd</t>
  </si>
  <si>
    <t>Ký mới
Đòi lịch sang từ thứ 7 sáng thứ 3</t>
  </si>
  <si>
    <t>0941,777,733</t>
  </si>
  <si>
    <t>thửa đất 378, tờ bản đồ số 33, KP Bình Khánh, P Khánh Bình, TX Tân Uyên, Bình Dương</t>
  </si>
  <si>
    <t>Nylon, dây đai, mút xốp, giấy vụn, mút PU, Eva</t>
  </si>
  <si>
    <t>1 - Gia61y vụn nhựa thải, carton, nolon, mút xốp, gỗ vụn, vải vụn</t>
  </si>
  <si>
    <t xml:space="preserve">01 lần/2tháng
</t>
  </si>
  <si>
    <t>số 215C, ấp 3, Lạc An, Huyện Bắc Tân Uyên, Tỉnh Bình Dương</t>
  </si>
  <si>
    <t>1 - Tro thải từ lò đốt</t>
  </si>
  <si>
    <t>0918,337,979</t>
  </si>
  <si>
    <t>Nylon, carton, dây đai, mút xốp, palet gỗ, lưỡi cưa sắt, giấy nhám, nhựa vụn, bobin gỗ</t>
  </si>
  <si>
    <t>01 lần/ Tháng</t>
  </si>
  <si>
    <t>02743,769,190</t>
  </si>
  <si>
    <t xml:space="preserve">1 - Bột ớt
2 - Bao bì giấy, nilon, dây đai, mút xốp, giấy vụn </t>
  </si>
  <si>
    <t>tháng 9 hết hđ k gom</t>
  </si>
  <si>
    <t>Thửa đất số 13, tờ bản đồ số 20, đường DX 10, Kp Hóa Nhựa, Phường Tân Vĩnh Hiệp, TX Tân Uyên, BD</t>
  </si>
  <si>
    <t xml:space="preserve">1 - Nylon, dây đai, mút xốp, chậu gốn sứ, khuôn chậu, sản phẩm hư hỏng. Giấy nhám, găng tay không dính thành phần nguy hại </t>
  </si>
  <si>
    <t>0919,619,297
Chị Bích</t>
  </si>
  <si>
    <t>Nylon, dây đai, mút xốp, gỗ vụn, giấy vụn, rác từ nhà ăn, nhà vệ sinh, văn phòng</t>
  </si>
  <si>
    <t>13/05/2022</t>
  </si>
  <si>
    <t>02743,642,647</t>
  </si>
  <si>
    <t>số 32, vsip II A, đường số 30, Khu Công Nghiệp VN-singapore II-A, Xã Vĩnh Tân, TX tân Uyên, BD</t>
  </si>
  <si>
    <t>Ok</t>
  </si>
  <si>
    <t>1 - Nylon, carton, dây đai, mút xốp, gỗ vụn, giấy vụn
2 - Vụn kim loại không dính thành phần nguy hại</t>
  </si>
  <si>
    <t>0902,466,033</t>
  </si>
  <si>
    <t>ép</t>
  </si>
  <si>
    <t/>
  </si>
  <si>
    <t xml:space="preserve">Carton, nylon, dây đai, mút xốp, gỗ vụn </t>
  </si>
  <si>
    <t>02743.800.600</t>
  </si>
  <si>
    <t>Nilon, dây đai, mút xốp, giấy vụn, gỗ vụn</t>
  </si>
  <si>
    <t>20/074/2022</t>
  </si>
  <si>
    <t>0906,624,134
Oanh</t>
  </si>
  <si>
    <t>Rác công nghiệp: nylon, dây đai, mút xốp, gỗ vụn, giấy vụn, mùn cưa, vải vụn</t>
  </si>
  <si>
    <t>02743.618.886</t>
  </si>
  <si>
    <t>02743.655.130</t>
  </si>
  <si>
    <t>ép nhỏ</t>
  </si>
  <si>
    <t>Công Ty Cổ Phần Nicotex  Nam Thái Dương
74.001.277.T</t>
  </si>
  <si>
    <t>02743.639.691</t>
  </si>
  <si>
    <t>kp An Thành TT Thái Hòa, Tân Uyên, BD</t>
  </si>
  <si>
    <t>tháng 10 hết hđ k gom</t>
  </si>
  <si>
    <t>hàng ngày</t>
  </si>
  <si>
    <t>22/10/2022</t>
  </si>
  <si>
    <t>hưng  báo ngưng ngày 11.10.2022</t>
  </si>
  <si>
    <t>7, a danh báo ngưng ngày 24/10/2022</t>
  </si>
  <si>
    <t>2, a danh báo ngưng ngày 24/10/2022</t>
  </si>
  <si>
    <t>3,6</t>
  </si>
  <si>
    <t>1 - Nylon, dây đai, mút xốp, gỗ vụn, vải vụn 
2 - Bùn công nghiệp từ hệ thống xử lý nước thải</t>
  </si>
  <si>
    <t>20/10/2024</t>
  </si>
  <si>
    <t>4, ngày 4 tháng 11 a danh báo ngưng</t>
  </si>
  <si>
    <t>chỉ đi sáng</t>
  </si>
  <si>
    <t xml:space="preserve">Ký mới 
</t>
  </si>
  <si>
    <t xml:space="preserve">Ký  mới
</t>
  </si>
  <si>
    <t xml:space="preserve">Ký mới
</t>
  </si>
  <si>
    <t>7, danh báo ngưng ngày 9.11.2022</t>
  </si>
  <si>
    <t>4, danh báo ngưng ngày 9.11.2022</t>
  </si>
  <si>
    <t>14/11/2022</t>
  </si>
  <si>
    <t>0393935231</t>
  </si>
  <si>
    <t>20/11/2023</t>
  </si>
  <si>
    <t>1 - Nylon, mút xốp, giấy vụn, gỗ vụn, carton, dây đai, nhựa thải, giấy nhám không dính thành phần nguy hại</t>
  </si>
  <si>
    <t>Công ty TNHH Việt Nam Bio Pak</t>
  </si>
  <si>
    <t>TĐS 1125, TBĐS 34, KP Bình Khánh, phường Bình Khánh, TX Tân Uyên, tỉnh Bình Dương, Việt Nam</t>
  </si>
  <si>
    <t>1- Chất hấp thụ, vật liệu lọc (kể cả vật liệu lọc dầu), giẻ lau, vải bảo vệ thải bị nhiễm các TPNH 18 02 01 (rắn)
2- Các loại dầu động cơ, hộp số bôi trơn thải khác 17 02 04 (lỏng)
3- Bóng đèn huỳnh quang và các loại thủy tinh thải hoạt tính thải 16 01 0 6(rắn)</t>
  </si>
  <si>
    <t>0785111191</t>
  </si>
  <si>
    <t xml:space="preserve">1 - Các loại dầu động cơ, hộp số và bôi trơn thải khác 17 02 04
2- Các loại chất thải khác có các thành phần nguy hại cô vơ và hữu cơ
3 - Pin, ắc quy chì thải 19 06 01
4 - Bóng đèn huỳnh quang thải 16 01 06
5 - Hộp mực in thải 08 02 04
6 - Bao bì mền thải 18 01 01
7 - Chất hấp thụ vật liệu lộc, giẻ lau 18 02 01
8 - Bao bì cứng bằng nhựa 18 01 03
9- Dầu tổng hợp thải từ quá trình gia công tạo hình 07 03 05 
10- Phoi từ quá trình gia công tạo hình hoặc vật liệu mài ra lẫn dầu, nhũ tương hay dung dịch thải có dầu hoặc các thành phần nguy hại khác 07 03 11
11-Mực in thải có các thành phần nguy hại 08 02 01
12- Bùn mực in thải có các thành phần nguy hại 08 02 02
13- Chất kết dinh chất bịt kín thải có dung môi hữu cơ hoặc các thành phần nguy hại 08 03 01
14- Các loại dung môi và hỗn hợp thải 17 08 03
15- Bao bì cứng thải bằng kim loại 18 01 02 </t>
  </si>
  <si>
    <t>22/11/2022</t>
  </si>
  <si>
    <t>số 5A, Vsip II-A, đường số 27, KCN Vsip II A, TX tân Uyên, BD</t>
  </si>
  <si>
    <t>UBND phường Thái Hòa</t>
  </si>
  <si>
    <t>Phường Thái Hòa, TX Tân uyên, tỉnh Bình Dương</t>
  </si>
  <si>
    <t>1- Bóng đèn huỳnh quang thải ; 16 01 06
2- Chai lọ thuốc bảo vệ thực vật 14 01 05
3- Kinh vỡ nhiễm TPNH 11 01 01
4- Máy móc thiết bị điên tử 16 01 03</t>
  </si>
  <si>
    <t>Ký ới</t>
  </si>
  <si>
    <t>30/11/2022</t>
  </si>
  <si>
    <t>30/09/2024</t>
  </si>
  <si>
    <t>Thửa đất số 201, TBĐ số 22, Đường Tân Hiệp 04, Tổ 3, Khu Phố Ông Đông, Phường Tân Hiệp, Thị Xã Tân Uyên, Tỉnh Bình Dương, Việt Nam.</t>
  </si>
  <si>
    <t>7, danh báo ngưng</t>
  </si>
  <si>
    <t>5, danh bóa ngưng</t>
  </si>
  <si>
    <t>3</t>
  </si>
  <si>
    <t>20/12/2024</t>
  </si>
  <si>
    <t xml:space="preserve">1 - Chất thải lẫn dầu từ quá trình xử lý nước làm mát 05 01 02
2 - Bùn thải và các bả lọc từ quá trình xử lý khí thải 05 01 03
3 - Bụi khí thải có các thành phần nguy hại 05 08 02
4 - Bùn thải của quá trình photphat hóa07 01 04
5 - Bùn thải và bã lọc có các thành phần nguy hại 07 01 05
6 - Dung dịch nước tẩy rửa thải có các thành phần nguy hại 07 01 06
7 - Dầu tổng hợp từ quá trình gia công tạo hình 07 03 05
8 - Bùn thải có các thành phần nguy hại từ quá trình gia công tạo hình 07 03 07
9 - Vật thể dùng để mài đã qua sử dụng có các thành phần nguy hại (ví dụ đá mài, giấy ráp..) 07 03 10
10 - Phoi từ quá trính gia công tạo hình hoặc vật liệu bị mài ra lẫn dầu, nhũ tương hay dung dịch thải có dầu hoặc các thành phần nguy hại khác 07 03 11
11 - Que hàn thải có các kim loại nặng hoặc thành phần nguy hại 07 04 01
12 - Căn sơn, sơn và vecni thải có dung môi hữu cơ hoặc các thành phần nguy hại khác 08 01 01
13 - Hộp mực in thải có chứa các thành phần nguy hại 08 02 04
14 - Mùn cưa, phoi bào, đầu mẫu gỗ thừa, ván và gỗ dán vụn thải có các thành phần nguy hại 09 01 01
15 - Chất thải lây nhiễm ( bao gồm cả chất thải sắc nhọn) 13 01 01
16 - Bộ lọc dầu đã qua sử dụng 15 01 02
17 - Bóng đèn huỳnh quang và các loại thủy tinh hoạt tính thải 16 01 06
18 - Dầu thủy lực tổng hợp thải 17 01 06
19 -  Các loại dầu động cơ, hộp số và bôi trơn thải khác17 02 04
20 - Các loại dầu truyền nhiệt và cách diện thải khác 17 03 05
21 - Bao bì mềm thải 18 01 01
22 - Bao bì cứng thải bằng kim loại bao gồm cả bình chứa áp suất đảm bảo rỗng hoàn toàn 18 01 02
23 - Bao bì cứng thải bằng nhựa 18 01 03
24 - Chất hấp thụ, vật liệu lọc ( bao gồm cả vật liệu lọc dầu chưa nêu tại các mã khác), giẻ lau, vải bảo vệ thải bị nhiễm các thành phân nguy hại 18 02 01
25 - Pin, ắc quy chì thải 19 06 01
26 - Các loại chất thải khác có các thành phần nguy hại hữu cơ 19 12 02
</t>
  </si>
  <si>
    <t>Công ty TNHH Samwon Việt Nam</t>
  </si>
  <si>
    <t>0839349432</t>
  </si>
  <si>
    <t>Công ty cổ phần Thành Thắng Thăng Long - Chi nhánh Bình Dương 2
74.001.570.T</t>
  </si>
  <si>
    <t>0989600527</t>
  </si>
  <si>
    <t>20/11/2025</t>
  </si>
  <si>
    <t>1-Bao bì giấy, nylon, dây đai, mút xốp, carton, giấy vụn, gỗ vụn, nhựa thải khống dính thành phần nguy hại
2- Bụi bột đá, bột trấu</t>
  </si>
  <si>
    <t>1 xe
Nghĩ từ ngày 20/12-1/2/2023</t>
  </si>
  <si>
    <t>Số 70, đường ĐT 746, KP Bình Hòa, phường Tân Phước Khánh, Tx. Tân Uyên, tỉnh Bình Dương, Việt Nam</t>
  </si>
  <si>
    <t>1- Giẻ lau 18 02 01 (rắn)
2- Bóng đèn 16 01 06 (rắn)
3- Hộp mực in 08 02 04 (rắn)
4- Dầu nhớt thải 17 02 04 (lỏng)
5- Bao bì mềm dính TPNH 18 01 01 ( Rắn)
6- Bao bì kim loại thải 18 01 02 (rắn)
7- Bao bì nhựa 18 01 03 (rắn)</t>
  </si>
  <si>
    <t>0913951964</t>
  </si>
  <si>
    <t>23/12/2022</t>
  </si>
  <si>
    <t>1 - Giẻ lau dính dầu nhớt, mực in,, dung môi, keo dán 18 02 01
2 - Thùng kim loại đựng dầu nhớt, mực in, dung môi, keo dán 18 01 02
3 - Dầu nhớt thải 17 02 04
4 - Keo dán thải 08 03 01
5 - Dung môi thải 17 08 03
6 - Bóng đèn huỳnh quang thải 16 01 06
7 - Pin, ắc quy chì thải 19 06 01
8 - Hộp mực in thải 08 02 04
9 - Mực in thải 08 02 01
10 - Bao bì nhựa dính thành phần nguy hại 18 01 03
11 - Bùn mực thải các thành phần nguy hại 08 02 02
12 - Tro lò đốt 12 03 02</t>
  </si>
  <si>
    <t>Công ty TNHH Kim Lợi Đại Thành</t>
  </si>
  <si>
    <t>Số 1325/E, Khu phố Hóa Nhựt, Tân Vĩnh Hiệp, Tân Uyên, BD</t>
  </si>
  <si>
    <t>Nylong, dây đai, mút xốp, giấy vụn, carton, giấy nhám, nhựa thải</t>
  </si>
  <si>
    <t>0792777734</t>
  </si>
  <si>
    <t>03/01/2023</t>
  </si>
  <si>
    <t>TĐS 442, TBĐ 14, Đường DX10  Kp Hóa Nhựt, phường Tân Vĩnh Hiệp, thị xã Tân Uyên, tỉnh Bình Dương</t>
  </si>
  <si>
    <t>7, BÁO NGUWGN NGÀY 3.1.2023</t>
  </si>
  <si>
    <t>1 - Dầu nhớt thải 17 02 04
2 - Thùng đựng dầu nhớt thải, bao bì đựng sơn, dung môi, keo thải 18 01 01
3 - Giẻ lau dính dầu nhớt, sơn, dung môi, keo thải 18 02 01
4 - Dung môi thải 17 08 03
5 - Sơn thải 08 01 01
6 - Keo thải 08 03 01
7 - Bóng đèn huỳnh quang 16 01 06
8 - Pin, ắc quy chì thải 19 06 01
9- hộp mưc in 08 02 04</t>
  </si>
  <si>
    <t>4, quyền abos ngưng</t>
  </si>
  <si>
    <t>1 - Bóng đèn huỳnh quang thải 16 01 06 ( Rắn )
2 - Chất hấp thụ vật liệu, lộc, giẻ lau 18 02 01 ( Rắn )
3 - Pin, ắc quy chì thải 19 06 01 ( Rắn )
4 - Baop bì cứng bằng nhựa 18 01 03 ( Rắn )
5 - Gia cầm chất ( do dịch bệnh) 14 02 01 ( Rắn )
6 - Bao bì cứng bằng vật liệu khác 18 01 04 ( Rắn )
7 - Chất lây nhiễm 13 02 01 ( Rắn /Lỏng)
8 - Các loại dầu động cơ, hộp số và bôi trơn thải khác 17 02 04( lỏng)
9 - Hộp mực in thải có các thành phần nguy hại 08 02 04 ( Rắn )</t>
  </si>
  <si>
    <t>1500k</t>
  </si>
  <si>
    <t>Giấy tem, giấy nhám</t>
  </si>
  <si>
    <t>06/02/2023</t>
  </si>
  <si>
    <t>1 lần / 1 tháng</t>
  </si>
  <si>
    <t xml:space="preserve">Cẩu
</t>
  </si>
  <si>
    <t>21/10/2024</t>
  </si>
  <si>
    <t>500K</t>
  </si>
  <si>
    <t xml:space="preserve">1 xe
</t>
  </si>
  <si>
    <t>Lô A25, A26, A27, đường số 9, Cụm công nghiệp phường Uyên Hưng, thị xã Tân Uyên, tỉnh Bình Dương,VN</t>
  </si>
  <si>
    <t>20/01/2025</t>
  </si>
  <si>
    <t>600k</t>
  </si>
  <si>
    <t>Số 7, tổ 9, ấp hóa nhựt, Tân Vĩnh Hiệp, TU, BD</t>
  </si>
  <si>
    <t>31/01/2024</t>
  </si>
  <si>
    <t>Công ty TNHH Việt Khắc
74.004.007T</t>
  </si>
  <si>
    <t>Lô F, Cụm Công nghiệp Phú Chanhs1, xã Phú Chánh, Tx Tân uyên, tỉnh Bình Dương</t>
  </si>
  <si>
    <t>800K</t>
  </si>
  <si>
    <t>số 28 Vsip 2A, Đường số 24, KCN VN Singapore II-A, Xã Vĩnh Tân, Tân Uyên, Bình Dương</t>
  </si>
  <si>
    <t>1 lần /  1 tháng</t>
  </si>
  <si>
    <t xml:space="preserve">1 - Hộp mực in thải 08 02 04
2 - Bóng đèn huỳnh quang thải 16 01 06
3 - Cặn dầu nhớt thải 17 02 04
4 - Bao bì đựng dầu nhớt bằng kim loại 18 01 03
5 - Bao bì đựng dầu nhớt 18 02 01
6 - Giẻ lau dính dầu nhớt 18 02 01
7 - Pin, ắc quy chì thải 19 06 01
</t>
  </si>
  <si>
    <t>1 - Than đen ( nguyên liệu làm vỏ xe)
2 - Bao jumbo</t>
  </si>
  <si>
    <t>Công ty CP XNK T-N-L</t>
  </si>
  <si>
    <t>Số 37/3, Kp Khánh Hội, Tân Phước Khánh, Tân Uyên, Bình Dương</t>
  </si>
  <si>
    <t>Hoplit</t>
  </si>
  <si>
    <t>Công ty TNHH Win Wood VN
74.004.094 T</t>
  </si>
  <si>
    <t xml:space="preserve">thửa đất số 266, tờ bản đồ số 43, Phường Khánh Bình, TX tân Uyên, Tỉnh Bình Dương
</t>
  </si>
  <si>
    <t>2 lần/ năm
4,10</t>
  </si>
  <si>
    <t>s</t>
  </si>
  <si>
    <t>01 Giẻ lau bao tay dính dung môi dầu nhớt thải  18 02 01
02 Dầu nhớt thải  17 02 04
03 Bóng đèn huỳnh quang thải  16 01 06
04 Pin, ắc quy chì thải  19 06 01
05 Hộp mực in thải  08 02 04
06 Thùng kim loại dính dầu nhớt, dung môi, dính thành phần nguy hại 18 01 02
07 Thùng nhựa dính thành phần nguy hại 18 01 03
08 Dung môi thải 17 08 03
09 Dầu thủy lực thải 17 01 07
10 Nhựa và gỗ thải dính thành phần nguy hại 09 01 01</t>
  </si>
  <si>
    <t>ký lại
4</t>
  </si>
  <si>
    <t>06503.559.858
c.hồng</t>
  </si>
  <si>
    <t>2, báo ngưng 28.03.2023</t>
  </si>
  <si>
    <t>5, ngưng 30.03.2023</t>
  </si>
  <si>
    <t>31/01/24</t>
  </si>
  <si>
    <t>05/04/2023</t>
  </si>
  <si>
    <t>1- Bao bì kim lại dính thành phần nguy hại 18 01 02 (rắn)
2- Giẻ lau dính dầu nhớt 18 02 01 rắn)
3 - Bóng đền huỳnh quang thải 16 01 06 (Rắn)
4- Dầu nhớt thải 17 02 04 (lỏng)
5- Pin, ắc quy chì thải 19 06 01(rắn)
6-Hộp mực in thải 08 02 04(rắn)
7-Thiết bị điện tử thải 19 02 05 (rắn)</t>
  </si>
  <si>
    <t>ngưng 7.4</t>
  </si>
  <si>
    <t>Công ty TNHH Hong Fu (Việt Nam)</t>
  </si>
  <si>
    <t>1- Giẻ lau 18 02 01
2- Bào bì cứng bằng kim loại 18 01 02
3- Bao bì nhựa 18 01 03
4- Keo thải 08 03 01
5- Dầu nhớt thải 17 02 04
6- Cặn sơn 08 01 01
7- Bao bì mềm 18 01 01
8- Bóng đèn 16 01 06
9- Hộp mực in 08 02 04
10- Pin, ắc quy, chì thải 19 06 01</t>
  </si>
  <si>
    <t>1 tháng / 1 lần</t>
  </si>
  <si>
    <t>15/04/2023</t>
  </si>
  <si>
    <t>01/03/2025</t>
  </si>
  <si>
    <t>số 26 Vsip II-A, đường số 27, KCN Việt Nam Singapore II-A,  Tân Uyên, Bình Dương</t>
  </si>
  <si>
    <t xml:space="preserve">Khu 8, Phường Uyên Hưng,TX Tân Uyên, Bình Dương
</t>
  </si>
  <si>
    <t>1 lần / 3 tháng
3,6,9,12</t>
  </si>
  <si>
    <t>Công ty TNHH Hinh Phong</t>
  </si>
  <si>
    <t>TĐS 485, TBĐ số 51, đường Khánh Bình 33, Kp 8, phường Uyên Hưng, Tx Tân Uyên, tỉnh Bình Dương</t>
  </si>
  <si>
    <t>TDĐS 446, TBĐ 40, đường Khánh Bình 65, Kp Khánh Lộc, phường Khánh Bình, Tx Tân Uyên, tỉnh Bình Dương</t>
  </si>
  <si>
    <t>1- Cặn sơn và vecni 08 01 01
2- Chất hấp thụ vật liệu lọc, giẻ lau 18 02 01</t>
  </si>
  <si>
    <t>700K</t>
  </si>
  <si>
    <t xml:space="preserve">Carton, nylon, dây dai, mút xopps, gỗ vụn, giấy vụn, giấy nhám, </t>
  </si>
  <si>
    <t>Số 16 , Vsip 2A, đường số 23, KCN Việt Nam Singapore II-A, thị xã Tân Uyên, tỉnh Bình Dương</t>
  </si>
  <si>
    <t>28360
Tháng  5 không thu gom</t>
  </si>
  <si>
    <t>1- dây đai, mút xốp, gỗ vụn, giấy vụn, carton, nilon
2- kinh bể</t>
  </si>
  <si>
    <t>SỐ 16, VSIP II-A, ĐƯỜNG SỐ 23, KCN VSIP II-A,P VĨNH TÂN,TX. TÂN UYÊN, BÌNH DƯƠNG</t>
  </si>
  <si>
    <t>Công ty TNHH Hoàng Hùng</t>
  </si>
  <si>
    <t>Tuần 2</t>
  </si>
  <si>
    <t>Tuần 3</t>
  </si>
  <si>
    <t>Tuần 4</t>
  </si>
  <si>
    <t>Ngưng 16/5</t>
  </si>
  <si>
    <t>1 - Dầu thải 15 01 07
2 - Bóng đèn huỳnh quang thải 16 01 06
3 - Chất hấp thụ vật liệu lộc, giẻ lau, vải bảo vệ 18 02 01
4 - Bình ắc quy chì thải  19 06 01</t>
  </si>
  <si>
    <t>4,Danh báo ngưng ngày 12/06/2023</t>
  </si>
  <si>
    <t>5, anh đức báo ngưng 14/06/2023</t>
  </si>
  <si>
    <t>7, anh đức báo ngưng</t>
  </si>
  <si>
    <t>15/06/2023</t>
  </si>
  <si>
    <t>20/04/2025</t>
  </si>
  <si>
    <t xml:space="preserve">32714
</t>
  </si>
  <si>
    <t>4, anh danh báo ngưng</t>
  </si>
  <si>
    <t>Nylon, dây đai, mút xốp, gỗ vụn, giấy vụn, vải vụn, giấy vụn, nhựa thải</t>
  </si>
  <si>
    <t>31/12/2024</t>
  </si>
  <si>
    <t>31/12/25</t>
  </si>
  <si>
    <t>6,12</t>
  </si>
  <si>
    <t>Công ty TNHHH K-Chem VN</t>
  </si>
  <si>
    <t>Đường N6b, cụm Công nghiệp Phú Chánh 1, xã Phú Chánh, thị xã Tân Uyên, tỉnh Bình Dương</t>
  </si>
  <si>
    <t>1- Hộp mực in 08 02 04
2- Thiết bị thải có các bộ phận linh kiện đinẹ tử (trừ bản mạch điển tử không chứa các chi tiết có các thành phần nguy hại) 19 02 05
3- Bao bì mền thải nhiễm TPNH 18 01 01
4- Bao bì cứng thải nhiễm TNPNH 18 01 02
5- Pin thải 16 01 12
6- Giẻ lai vải thải bị nhiễm TPNH 18 02 01
7- Chát thải lõng lẫn chất kết dinh và chất bịt kín cso dung môi và các TPNH 08 03 03
8- Các loại dầu động cơ, hộp số và bôi trơn tổng hợp thải 17 02 03
9- Than hoạt tính thải 12 01 04</t>
  </si>
  <si>
    <t>1 làn / 3 tháng 
3,6,9,12</t>
  </si>
  <si>
    <t>29/06/2023</t>
  </si>
  <si>
    <t>Công ty TNHH Sản xuất xuất nhập khẩu Anh Thuấn Phát</t>
  </si>
  <si>
    <t>TĐS 1289, TBĐS 5, đường Tân Phước Khánh 52, tổ 4, Kp Khánh Lộc, phường Tân Phước Khánh, Tx Tân Uyên, tỉnh Bình Dương, Việt Nam</t>
  </si>
  <si>
    <t>Coông ty TNHH Unic Technology (Việt Nam)</t>
  </si>
  <si>
    <t>16A, Vsip II-A, đường 28, KCN VN - Singapore II-A, phường Vĩnh Tân, Thị xã Tân Uyên, tỉnh Bình Dương</t>
  </si>
  <si>
    <t>Carton, nylon, dấy dai, mút xốp, gỗ vụn, giấy vụn, nhựa thỉa, bao tay vải</t>
  </si>
  <si>
    <t>1-Dầu nhớt thải 17 02 03
2- Thùng ddugnjw dầu nhớt 18 01 01
3- Giẻ lau nhiễm TPNH 18 02 01</t>
  </si>
  <si>
    <t>20/05/2025</t>
  </si>
  <si>
    <t>Công ty TNHH Bestwwin</t>
  </si>
  <si>
    <t>TĐS 23, TBĐS 32, Kp6, phường Uyên Hưng, TX Tân Uyên, tỉnh Bình Dương</t>
  </si>
  <si>
    <t>1- Giẻ lau dính TPH 18 02 01
2- Keo thải 08 03 01
3- Hộp mực in thải 08 02 04
4- Bóng đèn huỳnh quang thải
5- Bao bì cứng thải kim loại bao gồm cả bình chứa áp suất rỗng hoàn toàn 18 01 02</t>
  </si>
  <si>
    <t>1 làn / 6 tháng
7/2023, 1/2024</t>
  </si>
  <si>
    <t>20/05/25</t>
  </si>
  <si>
    <t>Công ty TNHH Dầu tư Thương Mại dịch vụ Lu industry</t>
  </si>
  <si>
    <t>TĐS 468, TBĐS 12, tổ 2, Kp 2, phường Vĩnh Tân, Thị xã Tân Uyên, tỉnh Bình Dương</t>
  </si>
  <si>
    <t>1- Mực in thải có thành phần nguy hại 08 02 01
2-Hộp mực in 08 02 04
3- Bóng đèn huỳnh quang và các loại thủy tinh hoạt tính 16 01 06
4- Các loài dồng động cơ hộp số và bôi trơn thải khác 17 02 04
5- Các loại dung môi và hỗn hợp dung môi 17 08 03
6- Bao bì mền 18 01 01
7- Bao bì cứng thải bằng nhựa 18 01 03
8- Chất hấp thụ, vật liệu lọc, giẻ lau, vải bảo vệ 18 02 01
9- Pin, ắc quy chì thải 19 06 01
10- Nước thải có TPNH 19 10 01</t>
  </si>
  <si>
    <t>Ccoogn ty TNHH T&amp;T Tech</t>
  </si>
  <si>
    <t>1 - Hộp mực in thải 08 02 04 (rắn)
2 - Bóng đèn huỳnh quang thải 16 01 06(rắn)
3 - Dầu nhớt thải 17 02 04(rắn)
4 - Dung môi thải 17 08 03(rắn)
5 - Bao bì mền dính thành phần nguy hại 18 01 01(rắn)
6 - Giẻ lau dính dầu nhớt 18 02 01(rắn)
7 - Pin, ắc quy chì thải 19 06 01(rắn)</t>
  </si>
  <si>
    <t>04/07/2023</t>
  </si>
  <si>
    <t>1- Mực in thải có các thành phần nguy hại 08 02 01 (rắn/lỏng)
2-Hộp mực in thải có các thành phần nguy hại 08 02 04(rắn)
3- Chất kết dính và chất bịt kín thải có dung môi hữu cơ hoặc các thành phần nguy hại khác 08 03 01(rắn/lỏng)
4- Bóng đèn huỳnh quang và các loại thủy tinh hoạt tính thải 16 01 06(rắn)
5- Các loại dầu động cơ, hộp số và bôi trơn thải khác 17 02 04(rắn)
6- Các loại dung môi và hỗn hợp dung môi thải khác 17 08 03(rắn)
7- Bao bì cứng thải bằng kim loại bao gồm cả bình chứa áp suất bảo đảm rỗng hoàn toàn 18 01 02(rắn)
8- Bao bì cứng thải bằng nhựa 18 01 03(rắn)</t>
  </si>
  <si>
    <t>05/07/2023</t>
  </si>
  <si>
    <t>Nylon, dây dai, mút xốp, gỗ vụn, giấy vụn</t>
  </si>
  <si>
    <t>1 - Bùn thải có các thành phần nguy hại từ qua trình gia công tạo hình 07 03 07 (bùn)
2 - Bụi cát mài bóng có các thành phần nguy hại 07 03 08(rắn)
3 - Bao bì mền đựng hóa chất 18 01 01(rắn)
4 - Thùng đựng hóa chất bằng kim loại 18 01 02(rắn)
5 - Thùng đựng hóa chất bằng nhựa 18 011 03(rắn)
6 - Nhớt thải 17 02 04(lỏng)
7 - Hộp mực in thải 08 02 04(rắn)
8 - Pin, ắc quy chì thải 19 06 01(rắn)
9 - Bóng đèn huỳnh quang thải 16 01 06(rắn)
10 - Giẻ lau, găng tay dính dầu nhớt 18 02 01(rắn)
11 - Xỉ và ván bọt từ qua trình nấu chảy kim loại 05 08 06(rắn)
12 - Cặn sơn thải 08 01 01(lỏng/rắn)
13 - Dung môi thải 17 08 03(lỏng)
14 - Phoi từ qua trình gia công tạo hình 07 03 11(rắn)
15 - Axit tẩy thải 07 01 01(lỏng)
16 - Bazo tẩy thải 07 01 03(lỏng)
17 - Bùn thải có các thành phần nguy hại, từ qua trình xử lý nước thải 07 01 05(bùn)
18 - Nước thải xi mạ 07 02 03(lỏng)
19 - Bao bì cứng dính thành phần nguy hại khác 18 01 04(rắn)</t>
  </si>
  <si>
    <t>1 - Vỏ rau củ quả, vỏ trứng
2 - Nước sốt mayone
3 - Bao nylon, giấy vụn, mút xốp 
4 - Bùn công nghiệp</t>
  </si>
  <si>
    <t>1 - Axit tẩy thải 07 01 01 (lỏng)
2 - Bùn thải từ qua trình gia công tạo hình 07 03 07(bùn)
3 - Vật thải mài đã qua sử dụng 07 03 10(rắn)
4 - Phoi từ qua trình gia công tạo hình 07 03 11(rắn)
5 - Que hàn có các kim loại nặng 07 04 01(rắn)
6 - Xỉ hàn có các kim loại nặng 07 04 02(rắn)
7 - Cặn sơn, sơn và vecni thải có dung môi hữu cơ 08 01 01(rắn/ lỏng)
8 - Chất thải từ qua trình cạo bóc tách sơn 08 01 03(rắn)
9 - Hộp mực in thải 08 02 04(rắn)
10 - Bóng đèn huỳnh quang 16 01 06(rắn)
11 - Dầu thủy lực tổng hộp thải 17 01 06(lỏng)
12 - Các loại dầu động cơ, hộp số và bôi trơn thải 17 02 04(lỏng)
13 - Bao bì mền18 01 01(rắn)
14 - Bao bì cứng bằng nhựa 18 01 03(rắn)
15 - Chất hấp thụ vật liệu lộc, giẻ lau 18 02 01(rắn)
16 - Bao bì cứng bằng kim loại 18 01 02(rắn)
17 - Pin, ắc quy chì thải 19 06 01(rắn)</t>
  </si>
  <si>
    <t>Chi Nhánh Công Ty TNHH Biomin Việt Nam tại Bình Dương</t>
  </si>
  <si>
    <t>1500K</t>
  </si>
  <si>
    <t>1 - Các loại dầu động cơ, hộp số và bôi trơn thải khác 17 02 04(lỏng)
2 - Chất hấp thụ, vật liệu lọc, giẻ lau, vảo bảo vệ dính TPNH 18 02 01 (rắn)
3 - Bóng đèn huỳnh quang thải và cái loại thủy tinh hoạt tính  16 01 06(rắn)
4 - Bao bì cứng bằng kim loại đựng dầu nhớt 18 01 02((rắn)
5 - Hộp mực in có các thành phần nguy hại 08 02 04(rắn)</t>
  </si>
  <si>
    <t>20/04/25</t>
  </si>
  <si>
    <t>1 - Hộp mực in chứa thành phần nguy hại 08 02 04(rắn)
2 - Chất kết dính và chất bịt kín có chứa dung môi hữu cơ 08 03 01(lỏng)
3 - Mùn cưa, phoi bào, đầu mẫu, gỗ thừa, gỗ ván vụn thải 09 01 01(rắn)
4 - Bóng đèn huỳnh quang thải 16 01 06(rắn)
5 - Các loại dầu động cơ, hộp số và bôi trơn thải 17 02 04(lỏng)
6 - Bao bì mền thải 18 01 01(rắn)
7 - Bao bì cứng bằng kim loại 18 01 02(rắn)
8 - Bao bì cứng bằng nhựa 18 01 03(rắn)
9 - Chất hấp thụ, giẻ lau 18 02 01(rắn)
10 - Pin, ắc quy chì thải 19 06 01(rắn)</t>
  </si>
  <si>
    <t>1-Giẻ lau, bao tay dính sơn, dầu nhớt thải ; 18 02 01(rắn)
2-Giấy nhám đã qua sử dụng dính sơn   18 02 01(rắn)
3-Thùng chứa sơn, dung môi, keo thải 18 01 01(rắn)
 4- Cặn sơn thải từ các buồng sơn 08 01 02(rắn)
5-; Dung môi thải ; 08 03 01(lỏng)
6- Bóng đèn huỳnh quang thải  16 01 06(rắn)
6- Keo thải ;  08 03 01(lỏng)
7-Dung môi thải 08 03 01(lỏng)
8 - Dầu nhớt thải 17 02 04(lỏng)
9 - Thùng đựng dầu nhớt 18 01 01(rắn)
10 - Pin, ắc quy chì thải 19 06 01(rắn)
11 - Hộp mực in thải 08 02 04(rắn)</t>
  </si>
  <si>
    <t>1- Thùng kim loại đựng keo 18 01 02(rắn)
2- Thùng nhựa đựng dầu nhớt 18 01 03(rắn)
3- Keo thải 08 03 01(lỏng)
4- Gỗ vụn dính thành phần nguy hại 09 01 01(rắn)
5- Vải giẻ lau dính dầu nhớt 18 02 01(rắn)
6- Dầu nhớt thải 17 02 04(lỏng)
7- Bóng đèn huỳnh quang thải 16 01 06(rắn)
8- Pin, ắc quy chì thải 19 06 01(rắn)
9 -Hộp mực in thải. 08 02 04(rắn)
10- Rác y tế thải. 13 01 01(rắn)</t>
  </si>
  <si>
    <t>1 - Thùng nhựa dính sơn 18 01 03(rắn)
2 - Giẻ lau dính dầu nhớt, sơn, keo 18 02 01(rắn)
3 - Bóng đèn huỳnh quang thải 16 01 06(rắn)
4 - Pin, ắc quy chì thải 19 06 01(rắn)
5 - Hộp mực in photo 08 02 04(rắn)
6 - Dầu nhớt thải 17 02 04(lỏng)
7 - Keo thải 08 03 01(lỏng)
8 - Cặn sơn, sơn và vecni thải có dung môi hữu cơ 08 01 01(rắn)</t>
  </si>
  <si>
    <t>1- Giẻ lau dính dầu nhớt 18 02 01(rắn)
 2- bã vỏ điều 04 02 01(rắn)
 3- Bóng đèn;  16 01 06(rắn)
 4- cặn dầu FO thải 17 06 01(rắn)
5- nhớt thải 17 02 03(lỏng)
6 - Bao bì cứng bằng kim loại 18 01 02 (rắn)</t>
  </si>
  <si>
    <t>1 - Bóng đèn huỳnh quang thải 16 01 06(rắn)
2 - Giẻ lau dính sơn, keo, dung môi, dầu nhớt thải 18 02 01(rắn)
3 - Thùng đựng dung môi, keo, sơn, dầu nhớt 18 01 02(rắn)
4 - Hộp mực in thải 08 02 04(rắn)
5 - Pin, ắc quy chì thải 19 06 01(rắn)
6 - Gỗ vụn dính sơn, keo thải 09 01 01(rắn)
7 - Dầu nhớt thải 17 02 04(lỏng)
8 - Keo thải 08 03 01(lỏng)
9 - Dung môi thải 17 08 03(lỏng)
10 - Bùn thải chứa cặn sơn thải 08 01 02(bùn)
11 - Sơn thải 08 01 01(lỏng)</t>
  </si>
  <si>
    <t>1 - Cặn sơn, sơn, dung môi hữu cơ hoăc các tp nguy hại 08 01 01(rắn)
2 - Chất kế dính chất bịt kín thải có dung môi hữu cơ hoăc các tp nguy hại 08 03 01(lỏng)
3 - Hộp mực in thải có chứa tp nguy hại 08 02 04(rắn)
4 - Bóng đèn huỳnh quang và các loia5 thủy tinh hoạt tính thải khác 16 01 06(rắn)
5 - Các loại dầu động cơn, hộp số và bôi trơn thải khác 17 02 04(lỏng)
6 - Các loại dung môi và hỗn hơp dung môi thải khác 17 08 03(lỏng)
7 - Bao bì cứng bằng kim loại, bao gồn cả bình chứa áp suất 18 01 02(rắn)
8 - Bao bì cứng bằng nhựa 18 01 03(rắn)
9 - Chất hấp thụ vật liệu lộc, giẻ lau 18 02 01(rắn)
10 - Pin, ắc quy chì thải 19 06 01(rắn)</t>
  </si>
  <si>
    <t>1 - Giẻ lau, găng tay dính dầu nhớt 18 02 01(rắn)
2 - Dầu nhớt thải 17 02 04(lỏng)
3 - Hộp mực in thải 08 02 04(rắn)
4 - Bóng đèn huỳnh quang thải 16 01 06(rắn)
5 - Pin, ắc quy chì thải 19 06 01(rắn)
6 -Phuy nhựa, thùng nhựa dính dung môi, sơn, keo 18 01 03(rắn)
7 - Thùng kim loại dính thành phần nguy hại 18 01 02(rắn)
8 - Dung môi thải 17 08 03(lỏng)
9 - Keo thải 08 03 01(lỏng)
10 - Cặn sơn thải 08 01 02(rắn)
11 - Bùn thải từ hệ thống xử lý nước thải 12 06 05(bùn)</t>
  </si>
  <si>
    <t>1 - Mực in thải có các thành phần nguy hại 08 02 01(rắn)
2 - Hộp mực in thải 08 02 04(rắn)
3 - Chất kết dính và chất bịt kín thải có dung môi hữu cơ 08 03 01(rắn)
4 - Bóng đèn huỳnh quang thải 16 01 06(rắn)
5 - các loại dầu động cơ 17 02 04(lỏng)
6 - Các loại dung môi 17 08 03(lỏng)
7 - Bao bì mền thải 18 01 01(rắn)
8 - Bao bì cứng bằng kim loại 18 01 02(rắn)
9 - Bao bì cứng bằng nhựa ( can nhựa 20-30 lít) dính hóa chất 18 01 03(rắn)
10 - Chất hấp thụ, vật liệu lộc, giẻ lau 18 02 01(rắn)
11 - Pin, ắc quy chì thải 19 06 01(rắn)
12 - Xút thải và các loại chất thải khác có các thành phần nguy hại 19 12 01(rắn)
13 - Các loại chất thải khác có thành phần nguy hại 19 12 02(rắn)
14 - Bao bì cứng bằng kim loại ( thùng phuy sắt 220L nguyên) ghi chú số lượng cái  18 01 02(rắn)
15 - Bao bì cứng bằng nhựa ( ghi chú số lượng cái) 18 01 03(rắn)
16 - Chất thải có chứa tác nhân lây nhiễm 13 01 01(rắn)</t>
  </si>
  <si>
    <t>1 - Giẻ lau dính dầu nhớt, hóa chất 18 02 01(rắn)
2 - Màng sơn, cặn sơn 08 01 01(rắn)
3 - Bóng đèn huỳnh quang 16 01 06(rắn)
4 -Thùng đựng nhớt, keo, hóa chất bằng nhựa 18 01 03(rắn)
5 - Thùng đựng nhớt, keo, hóa chất bằng kim loại 18 01 02(rắn)
6 -  Bùn thải từ HTXLNT 12 06 06(bùn)
7 - Hộp mực in 08 02 04(rắn)
8 - Mùn cưa, dăm bào, đàu mẫu gỗ thừa và gỗ dán vụn có chứa TPNH 09 01 01(rắn)
9 - Hóa chất bảo quản gỗ chứa TPNH 09 02 05(rắn)
10 - Dầu nhớt thải 17 02 04(lỏng)
11 - Dầu thủy lực thải 17 01 06(lỏng)
12 - Pin, ắc quy chì thải 19 06 01(rắn)
13 - Keo thừa thải 08 03 01(lỏng)
14 - Dung môi lẫn sơn thải 08 01 01(lỏng)
15 - Dung môi thải 17 08 03(lỏng)
16 - Hóa chất PTN 19 05 02(rắn)
17 - Chất thải y tế 13 01 01(rắn)
18 - Thạch cao chứa Amiang 11 06 01(rắn)
19 - Nước thải có chứa amiang 11 06 01(lỏng)</t>
  </si>
  <si>
    <t>13/07/2023</t>
  </si>
  <si>
    <t>31/05/2024</t>
  </si>
  <si>
    <t>1-Cặn sơn, sơn và vecni thải có dung môi hữu cơ haowjc các thành phần nguy hại khác 08 01 01 (rắn)
2- Hộp mưc in 08 02 04(rắn)
3- Chát kết dinh và chất bịt kín thải có dung môi  hữu cơ hoặc các thành phần nguy hại 08 03 01(lỏng)
4- Mùn cưa, phoi bòa, đầu mẫu, ván và gỗ có thành phần nguy hại 09 01 01(rắn)
5- Bóng đèn huỳnh quang 16 01 06(rắn)
6- Các loại dầu dộng cơ 17 02 04 (lỏng)
7- Các loại dung môi thải 17 08 03(lỏng)
8- Bao bì cứng bằng kim loại 18 01 02(rắn)
9- Bao bì cừng bằng nhựa 18 01 03(rắn)
10- Chất hấp thụ, vật liệu lọc, giẻ lau 18 02 01(rắn)
11- Pin ắc quy 19 06 01(rắn)</t>
  </si>
  <si>
    <t>1 - Các vật liệu dạng hạt thải có các thành phần nguy hại 07 03 08(rắn)
2 - Xỉ hàn có các kim loại nằng hoăc các thành phần nguy hại 07 04 02 (rắn)
3 - Phoi từ quá trình gia công tạo hình hoăc vật liệu bị mài ra lẫn dầu 07 03 11(rắn)
4 - Que hàn thải có các kim loại hoăc các thành phần nguy hại 07 04 01(rắn)
5 - Cặn sơn và vecni thải thải có dung môi hữu cơ hoăc các thành phần nguy hại 08 01 01(rắn)
6 - Hộp mực in thải 08 02 04(rắn)
7 - Bóng đèn huỳnh quang thải 16 01 06(rắn)
8 - Dầu thủy lực tổng hộp thải 17 01 06(lỏng)
9 - Các loại dầu động cơ, hộ số và bôi trơn thải khác 17 02 04(lỏng)
10 - Các loại dầu truyền nhiệt và cách điện thải khác 17 03 05(lỏng)
11 - Các loại dung môi 17 08 03(lỏng)
12 - Bao bì mền tahi3 18 01 01(rắn)
13 - bao bì cứng bằng kim loại 18 01 02(rắn)
14 - Chất hấp thụ, giẻ lau 18 02 01(rắn)
15 - Pin, ắc quy chì thải 19 06 01(rắn)
16 - Các loại chất thải khác chứa thành phần nguy hại 19 12 03(rắn)</t>
  </si>
  <si>
    <t>1- Giẻ lau, găng tay dính dầu nhớt, 18 02 01( Rắn )
2- Bao bì dính sơn bằng kim loại 18 01 02( Rắn )
3- Bao bì nhựa cứng 18 01 03( Rắn )
4- Keo thải 08 03 01(lỏng)
5- Dầu nhớt thải 17 02 04(lỏng)
6- Cặn sơn 08 01 01( Rắn )
7- Bao bì mềm 18 01 01( Rắn )
8- Bóng đèn 16 01 06( Rắn )
9- Hộp mực in 08 02 04( Rắn )
10- Pin, ăc quy 19 06 01( Rắn )</t>
  </si>
  <si>
    <t>1 - Cặn sơn, sơn và vecni thải có dung môi hữu cơ 08 01 01( Rắn )
2 - Bùn thải sơn hoăc vecni có dung môi hữu cơ hoăc các thành phần nguy hại 08 01 02( Bùn)
3 - Hộp mực in thải 08 02 04( Rắn )
4 - Chất kết dính và chất bịt kín thải có dung môi hữu cơ 08 03 01( Rắn )
5 - Bùn thải có các thành phần nguy hại 12 06 05(bùn)
6 - Bóng đèn huỳnh quang thải 16 01 06( Rắn )
7 - Các loại dầu động cơ, hộp số 17 02 04( lỏng)
8 - Các loại dung môi 17 08 03(lỏng)
9 - Bao bì cứng bằng kim loại 18 01 02( Rắn )
10 - Bao bì cứng bằng nhau75 18 01 03( Rắn )
11 - Chất hấp thụ vật liệu lộc, giẻ lau 18 02 01( Rắn )
12 - Pin, ắc quy chì thải 19 06 01( Rắn )</t>
  </si>
  <si>
    <t xml:space="preserve">1 - Vật liệu mài đã qua sử dụng có các tp nguy hại 07 03 10( Rắn )
2 - Bóng đèn huỳnh quang và các loại thủy tinh hoạt tính 16 01 06( Rắn )
3 - Hộp mực in thải có các tp nguy hại 08 02 04( Rắn )
4 - Bao bì mền thải 18 01 01( Rắn )
5 - Bao bì cứng bằng kim loại, bao gồm cả bình chứa áp suất 18 01 02( Rắn )
6 - Bao bì cứng thải bằng nhựa 18 01 03( Rắn )
7 - Chất hấp thụ, vật liệu lộc, giẻ lau 18 02 01( Rắn )
8 - Pin, ắc quy chì thải 19 06 01( Rắn )
</t>
  </si>
  <si>
    <t>20/02/25</t>
  </si>
  <si>
    <t>20/06/25</t>
  </si>
  <si>
    <t>1 - Giẻ lau, bao tay dính keo, dung môi 18 02 01(rắn)
2 - Bao bì mền dính sơn 18 01 01(rắn)
3 - pin, ắc quy chì thải 19 06 01(rắn)
4 - Sơn thải, cặn sơn thải 08 01 01(lỏng)
5 - Bóng đèn huỳnh quang thãi 16 01 06(rắn)
6 - Hộp mực in thải 08 02 04(rắn)
7 - Thùng nhựa đựng sơn, keo, dung môi 18 01 03(rắn)
8 - Thùng kim loại đựng sơn, keo 18 01 02(rắn)
9 - Dung môi thải 17 08 03(lỏng)
10 - Keo thải 08 03 01(lỏng)
11 - Dầu nhớt 17 02 04(lỏng)
12 - Chất thải lây nhiễm 13 01 01(rắn)</t>
  </si>
  <si>
    <t>1-Bóng đèn huỳnh quang thải ; 16 01 06(rắn)
2- Dầu nhớt thải ; 17 02 04(lỏng)
3- Giẻ lau dính dầu nhớt ; 18 02 01(rắn)
4- Thùng đựng dầu nhớt, đựng hóa chất thải ; 18 01 01(rắn)
5- pin,ắc quy chì thải 19 06 01(rắn)
6 - Hộp mực in 08 02 04(rắn)
7 - Nhựa thông 08 03 01(rắn)</t>
  </si>
  <si>
    <t>1- Dầu nhớt thải 17 02 04(lỏng)
2- Bao bì thùng đựng dầu nhớt,sơn,dung môi 18 01 01( Rắn )
3- Giẻ lau dính dầu nhớt sơn, dung môi ; 18 02 01( Rắn )
4- Bóng đèn huỳnh quang  16 01 06( Rắn )
5- Hộp mực in thải  08 02 04 ( Rắn )
6- Dung môi thải   17 08 03( Rắn )
7- Cặn sơn thải 08 01 02   ( Rắn )
8- Keo thải 08 03 01(lỏng)
9 -Pin, ắc quy thải 19 06 01( Rắn )</t>
  </si>
  <si>
    <t>1- Bóng đèn huỳnh quang thải ; 16 01 06 ( Rắn )
2-Dầu nhớt thải ;  17 02 04(lỏng)
3-Giẻ lau, bao tay dính dầu nhớt, keo thải ;  18 02 01 ( Rắn )
4-Thùng đựng dầu nhớt thải, bao bì đựng keo, nhựa phenolic, epoxy thải ; .18 01 01 ( Rắn )
5-Pin, ắc quy chì thải ;  19 06 01 ( Rắn )
6-Hộp mực in thải ; 08 02 04 ( Rắn )
7-Thiết bị điện, điện tử thải  19 02 05 ( Rắn )</t>
  </si>
  <si>
    <t>1 - Hộp mực in thải 08 02 04(rắn)
2 - Chất kết dính và chất bịt kín thải có dung môi hữu cơ 08 03 01(rắn)
3 - Bao bì mền thải 18 01 01(rắn)
4 - Bao bì cứng bằng kim loại 18 01 02(rắn)
5 - Bao bì cứng bằng nhựa 18 01 03(rắn)
6 - Chất hấp thụ, giẻ lau 18 02 01(rắn)
7 - Pin, ắc quy chì thải 19 06 01(rắn)
8 - Bóng đèn huỳnh quang thải 16 01 06(rắn)</t>
  </si>
  <si>
    <t>1 - Bao bì mền thải 18 01 01(rắn)
2 - Bao bì cứng đựng hóa chất, dầu nhớt bằng kim loại 18 01 02(rắn)
3 - Bao bì cứng đựng hóa chất, dầu nhớt bằng nhựa 18 01 03
4 -Hộp mực in thải 08 02 04
5 - Bóng đèn huỳnh quang thải 16 01 06
6 - Pin, ắc quy chì thải 19 06 01
7 - Các loại dầu động cơ, hộp số 17 02 04
8 - Chất hấp thụ, vật liệu lộc, giẻ lau 18 02 01
9 - Hóa chất phòng thí nghiệm 19 05 02</t>
  </si>
  <si>
    <t>1 - Hộp mực in thải 08 02 04(rắn)
2 - Chất kết dính và chất bịt kín thải 08 03 01(lỏng)
3 - Bóng đèn huỳnh quang thải 16 01 06(rắn)
4 - Dầu thủy lực, tổng hộp thải 17 01 06(lỏng)
5 - Các loại dầu động cơ, hộp số 17 02 04(lỏng)
6 - Bao bì mền thải 18 01 01(rắn)
7 - Bao bì cứng bằng kim loại 18 01 02(rắn)
8 - Bao bì cứng bằng nhựa 18 01 03(rắn)
9 - Chất hấp thụ, vật liệu lộc, giẻ lau 18 02 01(rắn)
10 - Pin, ắc quy chì thải 19 06 01(rắn)</t>
  </si>
  <si>
    <t>5, ngưng 18.07</t>
  </si>
  <si>
    <t>1 - Bóng đèn huỳnh quang thải 16 01 06 ( Rắn )
2 - Mực in thải có các thành phần nguy hại 08 02 04(lỏng)
3 - Giẻ lau dính thành phần nguy hại 18 02 01( Rắn )
4 - Các loại dầu động cơ, hộp số và bôi trơn thải 17 02 04(lỏng)
5 - Dung môi thải 17 08 03( lỏng)
6 - Bao bì mền thải 18 01 01( Rắn )
7 - Bao bì cứng bằng kim loại 18 01 02( Rắn )
8 - Bao bì cứng bằng nhựa 18 01 03( Rắn )
9 - Pin, ắc quy chì thải 19 06 01( Rắn )
10 - Chất thải lây nhiễm (bao gồm cả chát thải sắc nhọn) 13 01 01 ( Rắn /Lỏng)</t>
  </si>
  <si>
    <t>20/07/2027</t>
  </si>
  <si>
    <t>CÔNG TY TNHH SUNGWON MEDICAL</t>
  </si>
  <si>
    <t>1 - Bóng đèn huỳnh quang thải 16 0106(rắn)
2 - Giẻ lau, bao tay dính dầu nhớt 18 02 01(rắn)
3 - Dầu nhớt thải 17 02 04(lỏng)
4 - Bao bì, thùng đựng dầu nhớt bằng nhựa 18 01 03(rắn)
5 - Pin, ắc quy chì thải 19 06 01(rắn)
6 - Hộp mực in thải 08 02 04(rắn)
7 - Rác thải y tế 13 01 01(rắn)
8 - Cặn sơn hoăc sơn các thành phần nguy hại 08 01 01(rắn)
9 - Phoi từ quá trình gia công tạo hình hoăc vật liệu mài ra lẫn dầu hoăc các thành phần nguy hại 07 03 11(rắn)
10 - Bao bì mền đựng sơn 18 01 01(rắn)
11 - Bùn từ hệ thống xử lý nước thải lẫn sơn 08 01 02(bùn)</t>
  </si>
  <si>
    <t>21/07/2023</t>
  </si>
  <si>
    <t xml:space="preserve">CN: Nylon, giấy vụn, mút xốp, dây đai, gỗ vụn, nylon, </t>
  </si>
  <si>
    <t>1 - Axit thải 07 01 01(lỏng)
2 - Bùn thải của qua trình phot phát hóa 07 01 04(bùn)
3 - Bùn thải và bã lộc có các thành phần nguy hại 07 01 05(bùn)
4 - Nhũ tương và dung dịch thải không có hơp chất halogen 07 03 04(lỏng)
5 - Phoi từ qua trình gia công tạo hình 07 03 11(rắn)
6 - Vật thể dùng để mài đã qua sử dụng có các thành phần nguy hại 07 03 10(rắn)
7 - Que hàn thải có các kim loại nặng có các thành phần nguy hại 07 04 01(rắn)
8 - Xỉ hàn có các kim loại nằng 07 04 02(rắn)
9 - Cặn sơn, sơn và vecni thải có dung môi hữu cơ 08 01 01(rắn)
10 - Hộp mực in thải có chứa thành phần nguy hại 08 02 04(rắn)
11 - Hỗn hợp mỡ thải và chất béo độc hại từ qua trình tách dầu 12 06 04(rắn)
12 - Chất thải lây nhiễm 13 01 01(rắn)
13 - Bóng đèn huỳnh quang thải 16 01 06(rắn)
14 - Dầu thủy lực tổng hợp thải 17 01 06(lỏng)
15 - Các loại dầu động cơ, hộp số và bôi trơn thải 17 02 04(lỏng)
16 - Bao bì mền thải 18 01 01(rắn)
17 - Bao bì cứng bằng kim loại 18 01 02(rắn)
18 - bao bì cứng bằng nhựa 18 01 03(rắn)
19 - Chất hấp thụ, vật liệu lộc, giẻ lau 18 02 01(rắn)
10 - Pin, ắc quy chì thải 19 06 01(rắn)
21 - Các loại chất thải khác có các thành phần nguy hại 19 12 03(rắn)</t>
  </si>
  <si>
    <t>Khu 6, Phường Uyên Hưng, Tân Uyên, Bình Dương</t>
  </si>
  <si>
    <t>CÔNG TY TNHH SẢN XUẤT XINADDA (VIỆT NAM)</t>
  </si>
  <si>
    <t>25/07/2023</t>
  </si>
  <si>
    <t>1 - Thùng đựng xăng, dầu nhớt nhớt bôi trơn, boa bì đựng sơn 18 01 01(rắn)
2 - Giẻ lau dính dung môi, dầu nhớt 18 02 01(rắn)
3 - Dầu nhớt thải 17 02 04(lỏng)
4 - Dung môi thải 17 08 03(lỏng)
5 - Keo thải 08 03 01(lỏng)
6 - Cặn sơn thải 08 01 01(lỏng)
7 - Bóng đèn huỳnh quang thải 16 01 06(rắn)
8 - Lưới Amiang thải 11 06 01(rắn)
9 - Bùn thải từ hệ thống XLNT(bùn)
10 - Pin, ắc quy chì thải 19 06 01(rắn)
11 - Giấy nhám thải 18 02 01(rắn)
12 - Hộp mực in thải 08 02 04(rắn)</t>
  </si>
  <si>
    <t>1- Mực in thải có thành phần nguy hại 08 02 01(rắn/lỏng)
2-Hộp mực in thải có TPNH 08 02 04(rắn)
3- Bóng đèn huỳnh quang và các loại thủy tinh hoạt tính 16 01 06(rắn)
4- Các loài dồng động cơ hộp số và bôi trơn thải khác 17 02 04(lỏng)
5- Các loại dung môi và hỗn hợp dung môi 17 08 03(lỏng)
6- Bao bì mền 18 01 01(rắn)
7- Bao bì cứng thải bằng nhựa 18 01 03(rắn)
8- Chất hấp thụ, vật liệu lọc, giẻ lau, vải bảo vệ 18 02 01(rắn)
9- Pin, ắc quy chì thải 19 06 01(rắn)
10- Nước thải có TPNH 19 10 01(lỏng)</t>
  </si>
  <si>
    <t>1- Cặn sơn, sơn và vecni thải có dung môi hữu cơ hoặc các TPNH khác 08 01 01(rắn)
2- Chất hấp thụ vật liệu lọc( bao gồm cả vật liệu lọc dầu chưa nêu tại các mã khác), giẻ lau vải bảo vệ nhiễm TPNH 18 02 01(rắn)</t>
  </si>
  <si>
    <t>1 - Bóng đèn huỳnh quang thải 16 01 06(rắn)
2 - Pin, ắc quy chì thải 19 06 01(rắn)
3 - Giẻ lau dính dầu nhớt thải 18 02 01(rắn)
4 - Bao bì, thùng nhựa đựng dầu nhớt 18 01 03(rắn)
5 - Dầu bảo trì máy móc, thiết bị 17 02 04(lỏng)
6 - Hộp mực in 08 02 04(rắn)
7 - Dung môi 17 08 03(lỏng)
8 - Keo thải 08 03 01(lỏng)</t>
  </si>
  <si>
    <t>01 Giẻ lau bao tay dính dung môi dầu nhớt thải  18 02 01(rắn)
02 Dầu nhớt thải  17 02 04(lỏng)
03 Bóng đèn huỳnh quang thải  16 01 06(rắn)
04 Pin, ắc quy chì thải  19 06 01(rắn)
05 Hộp mực in thải  08 02 04(rắn)
06 Thùng kim loại dính dầu nhớt, dung môi, dính thành phần nguy hại 18 01 02(rắn)
07 Thùng nhựa dính thành phần nguy hại 18 01 03(rắn)
08 Dung môi thải 17 08 03(lỏng)
09 Dầu thủy lực thải 17 01 07(lỏng)
10 Nhựa và gỗ thải dính thành phần nguy hại 09 01 01(rắn)</t>
  </si>
  <si>
    <t>1 - Que hàn thải có các thành phần nguy hại 07 04 01(rắn)
2 - Xỉ hàn có các kim loại nặng hoăc các thành phần nguy hại 07 04 02(rắn)
3 - Hộp mực in thải 08 02 04(rắn)
4 - Chất kết dính và chất bịt kín kín thải có dung môi hữu cơ 08 03 01(rắn)
5 - Bóng đèn huỳnh quang thải 16 01 06(rắn)
6 - Các loại dầu động cơ, hộp số và bôi trơn thải 17 02 04(lỏng)
7 - Bao bì mền thải 18 01 01(rắn)
8 - Bao bì cứng bằng kim loại 18 01 02(rắn)
9 - Chất hấp thụ, vật liệu lộc, giẻ lau 18 02 01(rắn)
10 - Các thiết bị, bộ phận, linh kiện điện tử thải 19 02 06(rắn)
11 - Pin, ắc quy chì thải 19 06 01(rắn)
12 - Các loại chất thải khác có các thành phần nguy hại 19 12 03(rắn)</t>
  </si>
  <si>
    <t>1 - Nylon, dây đai, mút xốp, gỗ vụn, giấy vụn,
2 - Than nguyên liệu sản xuất vỏ xe : bsung
3- Tro, xỉ lò hơi từ quá trình đốt củi PLHĐ</t>
  </si>
  <si>
    <t>Chi nhánh Công ty Cổ Phần Công Viên Mô Tô
74,003,349,T</t>
  </si>
  <si>
    <t>thửa đất số165, 240, 241, tờ bản đồ số 47, KP Bình Chánh Đông, Phường Khánh Bình, Tp Tân Uyên, Tỉnh Bình Dương</t>
  </si>
  <si>
    <t>Nylon, dây dai, mút xốp, gỗ vụn, giấy vụn, tro đốt lò, bụi gỗ</t>
  </si>
  <si>
    <t>02/08/2023</t>
  </si>
  <si>
    <t xml:space="preserve">Nylon, dây dai, mút xốp, chậu sử gốm, khuôn và cốt chậu, sản phẩm hư hỏng, các chậu và sản phẩm từ xi măng, găng tay không đính TPNH </t>
  </si>
  <si>
    <t>20/08/2025</t>
  </si>
  <si>
    <t>1 - Bóng đèn huỳnh quang thải 16 01 06  rắn)
2 - Giẻ lau dính dầu nhớt, keo 18 02 01 rắn)
3 - Cặn keo thải 08 01 03  rắn)
4 - Bùn từ hệ thống xử lý nước thải 12 06 05 ( Bùn )
5- Bao bì cứng bằng kim loại bao gồm cả bình áp suất rỗng hoàn toàn 18 01 02(rắn)</t>
  </si>
  <si>
    <t>Carton, nylon, dây dai, mút xoốp, gỗ vụn, giấy vụn, nhựa thải</t>
  </si>
  <si>
    <t>1 - Bóng đèn huỳnh quang thải 16 01 06
2 - Hộp mực in thải 08 02 04(rắn)
3 - Chất hấp thụ, vật liệu lộc, giẻ lau 18 02 01
4 - Bao bì thải bằng kim loại 18 01 02
5 - Bao bì cứng thải bằng nhựa 18 01 03
6 - Bao bì mền thải 18 01 01
7 - Dầu động cơ, hộp số và bôi trơn thải 17 02 04(lỏng)
8 - Pin,ắc quy chì thải 19 06 01(rắn)
9 - Dung môi, hóa chất thải 17 08 03(lỏng)
10 - Bùn từ hệ thống xử lý nước thải 12 06 05(bùn)</t>
  </si>
  <si>
    <t>1 - Chất kết dính và chất bịt kín có dung môi hữu cơ 08 03 01(lỏng)
2 - Bóng đèn huỳnh quang thải 16 01 06(rắn)
3 - Dầu thủy lực, tổng hộp thải 17 02 04(lỏng)
4 - Dầu động, cơ, hộp số và bôi trơn thải 17 02 04(lỏng)
5 - Bao bì mềm thải 18 01 01(rắn)
6 - Chất hấp thụ, vật liệu lộc, giẻ lau 18 02 01(rắn)
7 - Nước thải từ hệ thống buồng sơn 07 02 03(lỏng)
8 - Pin, ắc quy chì thải 19 06 01(rắn)</t>
  </si>
  <si>
    <t>1 - Ba zớ thải và chất thải có tính bazo 07 01 03 ( Lỏng)
2 - Bóng đèn huỳnh quang thải thải và các loại thủy tinh hoạt tính 16 01 06 ( Rắn )
3 - Các loia5 dầu động cơ, hộp số và bôi trơn thải 17 02 04( Lỏng)
4 - Bao bì cứng bằng kim loại bao gồm cả bình chứa áp suất rỗng hoàn toàn 18 01 02( Rắn )
5 - Bao bì cứng bằng nhựa 18 01 03( Rắn )
6 - Chất hấp thụ, vật liệu lộc, giẻ lau, vải bảo vệ nhiễm TPNH 18 02 01( Rắn )
7 - Cặn sơn, sơn và vecni thải có dung môi hữu cơ hoặc các TPNH khác 08 01 01( Rắn/Lỏng)
8 - Mực in thải có các thành phần nguy hại 08 02 01( Rắn/Lỏng)</t>
  </si>
  <si>
    <t>4, ngưng 16/02/2023</t>
  </si>
  <si>
    <t>Coông ty TNHH Lan Nam Long</t>
  </si>
  <si>
    <t>TĐS 167, TBĐS 34 (29), đường Vĩnh Tân 38, Kp 3, phường Vĩnh Tân, Tp Tân Uyên, Tỉnh Bình Dương</t>
  </si>
  <si>
    <t>1- Cặn sơn, sơn và vecni thải có dung môi hữu cơ hoặc các TPNH khác 08 01 01(rắn)
2- Chất hấp thụ vật liệu lọc( bao gồm cả vật liệu lọc dầu chưa nêu tại các mã khác), giẻ lau vải bảo vệ nhiễm TPNH 18 02 01(rắn)
3- Bao bì cứng bằng kim loại 18 01 02 (rắn)
4- Bóng đền huỳnh quang thải 16 01 06 (rắn)</t>
  </si>
  <si>
    <t>Đc 2, KP Mỹ hiệp, Thái Hòa, Tân Uyên, BD</t>
  </si>
  <si>
    <t>Nylon, dây đai, mút xốp,Gỗ vụn, giấy vụn</t>
  </si>
  <si>
    <t>17/08/2023</t>
  </si>
  <si>
    <t>Công ty Cổ phần Sản xuất Kỹ Nghệ Gỗ Xuất Khẩu Sáng Thịnh Phát</t>
  </si>
  <si>
    <t>TĐS 12, TBDS 68, ấp Bình Cơ, xã Bình Mỹ, huyệ Bắc Tân Uyên, tỉnh Bình Dương</t>
  </si>
  <si>
    <t>Nylon, dây dai, mút xopps, giấy vụn, gỗ vụn</t>
  </si>
  <si>
    <t>1- Cặn sơn, sơn và vecni thải có dung môi hoặc thành phần nguy hại khác 08 01 01 (rắn/ lỏng)
2- Hộp mực in thải có các TPNH 08 02 04 (rắn)
3- Bóng đnè huỳnh quang và các loại thủy tinh hoạt tính 16 01 06 (rắn)
4- Dầu động cơ hộp số và bôi trơn 17 02 04 (lonbgr)
5- Dung môi thỉa 17 08 03 (lỏng)
6- Bao bì mền thải 18 01 01 
7- Bao bì cứng bằng nhựa 18 01 03 (rắn)
8- Bao bì cứng thải bằng kim loại bao gồm cả bình chứa áp suất rỗng hoàn toàn 18 01 02 (rắn)
9- Chất hấp thụ, vật liệu lọc (bao gồm cả vật liệu lọc dầu chưa nêu tại các mã khác), giẻ lau , vải bảo vệ thải bị nhiễm các thành phần nguy hại 18 02 01 (rắn)
10 - Pin ắc quy chì thải 19 06 01 (rắn)</t>
  </si>
  <si>
    <t>21/08/2023</t>
  </si>
  <si>
    <t>1 - Cặn sơn, sơn và vecni thải có dung môi hữu cơ hoặc các TPNH khác 08 01 01(rắn/lỏng)
2 - Bùn thải lẩn sơn hoăc vecni có dung môi hữu cơ hoặc các TPNH khác 08 01 02(bùn)
3 - Hộp mực in thải có các TPNH 08 02 04(rắn)
4 - Chất kết dính và chất bịt kín có các thành phần nguy hại (keo thải) 08 03 01(lỏng)
5 - Mùn cưa, phôi bào, dầu mẫu, gỗ thừa, ván và gỗ dán vụn có chứa các thành phần nguy hại 08 03 01(rắn)
6 - Bóng đèn huỳnh quang thải và các loại thủy tinh hoạt tính 16 01 06(rắn)
7 - Dầu thủy lực tổng hợp thải 17 01 06(lỏng)
8 - Dầu động cơ, hộp số và bôi trơn thải 17 02 04(lỏng)
9 - Dung môi thải 17 08 03(lỏng)
10 - Bao bì mền thải 18 01 01(rắn)
11 - Bao bì cứng thải bằng kim loại bao gồm cả bình chứa áp suất bảo đảm rỗng hoàn toàn 18 01 02(rắn)
12 - Bao bì cứng bằng nhựa 18 01 03(rắn)
13 - Chất hấp thụ, vật liệu lọc (bao gồm cả vật liệu lọc dầu chưa nêu tại các mã khác), giẻ lau, vải bảo vệ thải bị nhiễm các thành phần nguy hại 18 02 01(rắn)
14 - Pin, ắc quy chì thải 19 06 01(rắn)
15 - Các loại chất thải khác chứa thành phần nguy hại vô cơ hoặc hữu cơ 19 12 03(rắn)</t>
  </si>
  <si>
    <t>Công ty TNHH Thiết kế Vua</t>
  </si>
  <si>
    <t>TĐS 1010, TBBDS 29, đường Khánh Bình 30, Phường Khánh Bình, Thị Xã Tân Uyên, Bình Dương</t>
  </si>
  <si>
    <t>1- Ván ép, giấy vụn, pallet, gỗ vụn
2- Sản phẩm hư, khuôn hư</t>
  </si>
  <si>
    <t>Khu Phố Bình Khánh, Phường Khánh Bình, Thị Xã Tân Uyên, Bình Dương</t>
  </si>
  <si>
    <t>CÔNG TY TNHH SẢN XUẤT - THƯƠNG MẠI - DỊCH VỤ HỒNG ĐẠT
74.000.760.T</t>
  </si>
  <si>
    <t>Công Ty TNHH Nội Thất Trung Danh</t>
  </si>
  <si>
    <t>CÔNG TY TNHH XINADDA METAL (VIET NAM)</t>
  </si>
  <si>
    <t>Số 19 VSIP II-A, Đường số 28, kcn Việt Nam-Singapore II-A, phường Vĩnh Tân, thị xã Tân Uyên, tỉnh Bình Dương, VN</t>
  </si>
  <si>
    <t>số 8 Vsip II-A, đường số 11, khu công nghiệp Việt Nam – Singapore II-A, phường Vĩnh Tân, thành phố Tân Uyên, tỉnh Bình Dương</t>
  </si>
  <si>
    <t>01 Mực in thải có các thành phần nguy hại 08 02 01 Rắn/ Lỏng
02 Bùn mực thải có các thành phần nguy hại 08 02 02 Bùn
03 Dung dịch bản khắc axit (hoặc kiềm) thải 08 02 03 Lỏng
04 Hộp mực in thải có các thành phần nguy hại 08 02 04 Rắn
05 Bùn thải có các thành phần nguy hại từ các quá trình xử lý nước thải công nghiệp khác 12 06 05 Bùn
06 Bóng đèn huỳnh quang và các loại thủy tinh hoạt tính thải 16 01 06 Rắn
07 Các loại dầu động cơ, hộp số và bôi trơn thải khác 17 02 04 Lỏng
08 Bao bì mềm thải 18 01 01 Rắn
09 Bao bì cứng thải bằng kim loại bao gồm cả bình chứa áp suất bảo đảm rỗng hoàn toàn 18 01 02 Rắn
10 Bao bì cứng thải bằng nhựa 18 01 03 Rắn
11 Chất hấp thụ, vật liệu lọc (bao gồm cả vật liệu lọc dầu chưa nêu tại các mã khác), giẻ lau, vải bảo vệ thải bị nhiễm các thành phần nguy hại 18 02 01 Rắn
12 Pin, ắc quy chì thải 19 06 01 Rắn</t>
  </si>
  <si>
    <t>1 - Bao bì đựng mực in; 18 01 02(rắn)
2 - Giẻ lau dính TPNH;  18 02 01(rắn)
3 -  Bóng đèn huỳnh quang thải; 16 01 06(rắn)
4 -  Pin thải; 19 06 01(rắn)
6 - Keo thải 08 03 01(rắn/lỏng)
7 - Than hoạt tính đã qua sử dụng 12 01 04(rắn)
8 - Tro lò hơi có TPNH 04 02 01(rắn)
9 - Bùn thải từ hệ thống xử lý nước thải 12 06 05(bùn)</t>
  </si>
  <si>
    <t>4, ngưng 8.9</t>
  </si>
  <si>
    <t>12/09/2023</t>
  </si>
  <si>
    <t>1 -Chất hấp thụ, vật liệu lọc (bao gồm cả vật liệu lọc dầu chưa nêu tại các mã khác) , giẻ lau , vải bảo vệ thải bị nhiễm các thành phần nguy hại 18 02 01 (rắn)
2 - Cặn sơn, sơn, vecni thải có các thành phần dung môi hữu cơ hoặc các thành phần nguy hại khác 08 01 01 (lỏng)
3 - Bóng đèn huỳnh quang và các loại thủy tinh hoạt tính thải 16 01 06 (rắn)
4 - Hộp mực in thải có các thành phần nguy hại 08 02 04
5 - Pin, ắc quy chì thải 19 06 01
6-Bùn thỉa lẫn sơn hoặc vec ni có dung môi hữu cơ hoặc các TPNH 08 01 02 (bùn)
7- Chất kết dính và chất bịt kín thải có dung môi hữu cơ hoặc các TPNH khác 08 03 01 (rắn)
8-Các loại dầu động cơ, hộp số và bôi trơn thải khác 17 02 04 (lỏng)
9- Bao bì cứng thải bằng kim loại bao gồm cả bình chứa áp suất rỗng hoàn toàn 18 01 02 (rắn)
10-Bao bì cứng thải bằng nhựa 18 01 03 (rắn)
11-Các loại dung môi và hỗn hợp dung môi thải khác 17 08 03 (lỏng)</t>
  </si>
  <si>
    <t>1 - Bóng đèn huỳnh quang và các loại thủy tinh thải khác 16 01 06
2 - Chất hấp thụ, vật liệu lọc (bao gồm cả vật liệu lọc dầu chưa nêu tại các mã khác) , giẻ lau , vải bảo vệ thải bị nhiễm các thành phần nguy hại 18 02 01 (rắn)
3 - pin, ắc quy chì thải 19 06 01
4 - Chất kết dính và chất bịt kín thải có dung môi hữu cơ hoăc các thành phần nguy hại 08 03 01
5 - Bao bì cứng thải bằng kim loại bao gồm cả bình chứa áp suất rỗng hoàn toàn 18 01 02 (rắn)
6 - Các loại dầu động cơ, hộp số và bôi trơn thải khác 17 02 04
7- Hộp mức in thải có các TPNH 08 02 04
8 - Bao bì cứng bằng nhựa 18 01 03
9 - Các loại dung môi và hỗn hợp dung môi 17 08 03</t>
  </si>
  <si>
    <t>01 lần/3tháng
2.5,8,11</t>
  </si>
  <si>
    <t>01 lần/2tháng
2,4,6,8,10,12</t>
  </si>
  <si>
    <t>4, ngưng 18.9</t>
  </si>
  <si>
    <t>5, ngưng 18.09</t>
  </si>
  <si>
    <t>1 - Cặn sơn, sơn, vecni thải có các thành phần dung môi hữu cơ hoặc các thành phần nguy hại khác 08 01 01 (lỏng)
2 - Hộp mực in thải CÓ CÁC tpnh 08 02 04
3 -chất hấp thụ, vật liệu lộc, giẻ lau 18 02 01
4 -Chất kết dính và chất bịt kín thải có dung môi hữu cơ hoặc các TPNH khác 08 03 01 (rắn/lỏng)
5 - Bóng đèn huỳnh quang và các loại thủy tinh hoạt tính thải 16 01 06 (rắn)
6 - Các loại dung môi và hỗn hợp dung môi thải khác 17 08 03 (lỏng)
7 - Bao bì mền thải 18 01 01
8 - Bao bì cứng thải bằng kim loại bao gồm cả bình chứa áp suất rỗng hoàn toàn 18 01 02 (rắn)
9 - Bao bì cứng bằng nhựa 18 01 03
10 - Pin, ắc quy chì thải 19 06 01
11 - Bùn thải lẩn sơn vecni thải có các thành phần dung môi hữu cơ hoặc các thành phần nguy hại khá 08 01 02
12- Chất hấp thụ, vật liệu lọc (bao gồm cả vật liệu lọc dầu chưa nêu tại các mã khác) , giẻ lau , vải bảo vệ thải bị nhiễm các thành phần nguy hại 18 02 01 (rắn)</t>
  </si>
  <si>
    <t>1 - Hộp mực in photo thải 08 02 04
2 - Bóng đèn huỳnh quang thải 16 01 06
3 - Dầu nhớt thải 17 02 04
4 - Dung môi thải 17 08 03
5 - Bao bì mền dính thành phần nguy hại 18 01 01
6 - Giẻ lau dính dầu nhớt, dinh TPNH 18 02 01
7 - Pin, ắc quy chì thải 19 06 01</t>
  </si>
  <si>
    <t>Số Công ty Thu Gom</t>
  </si>
  <si>
    <t>Công ty TNHH Minh Đạo</t>
  </si>
  <si>
    <t>Công ty TNHH Công Nghiệp Hong Li</t>
  </si>
  <si>
    <t>Công ty TNHH Ngũ Kim Huang Ding
74,003,927,T</t>
  </si>
  <si>
    <t>Công ty TNHH Red River Food Việt Nam</t>
  </si>
  <si>
    <t>Công ty TNHH Công Nghiệp Glory Việt Nam</t>
  </si>
  <si>
    <t>Công ty TNHH Lode Star 
74.000.039.T</t>
  </si>
  <si>
    <t>Công ty TNHH Đạt Thành
74.000.722.T</t>
  </si>
  <si>
    <t>Công ty TNHH máy Công Nghiệp Vũ Minh
74.001.762.T</t>
  </si>
  <si>
    <t>Công ty TNHH Gỗ Chấn Phong
74.000.432.T</t>
  </si>
  <si>
    <t>Công ty TNHH Quang Lâm VN
74.002.769.T</t>
  </si>
  <si>
    <t>Công ty CP Cao Su Công Nghiệp Omexey
74,003,234,T</t>
  </si>
  <si>
    <t>Công ty TNHH Lon Nước Giải Khát TBC-Ball Việt Nam
74.002.2001.T</t>
  </si>
  <si>
    <t>Công ty TNHH Sơn Hoa Việt
74,003,502,T</t>
  </si>
  <si>
    <t>Công ty TNHH River Rich Industrial
74.001.625.T</t>
  </si>
  <si>
    <t>Công ty TNHH Kreators
74.003.854.T</t>
  </si>
  <si>
    <t>Công ty TNHH Thép Trường Thịnh</t>
  </si>
  <si>
    <t xml:space="preserve">Công ty TNHH Đồ Gỗ Danh Ích
74.002.392.T
</t>
  </si>
  <si>
    <t>Công ty TNHH MTV Sản Xuất Ngũ Kim Hồng Thịnh
74,002,993,T</t>
  </si>
  <si>
    <t>Công ty TNHH Bao Bì Học Thánh
74.002.400.T</t>
  </si>
  <si>
    <t>Công ty TNHH MTV Xin - Hua
74.002.457.T</t>
  </si>
  <si>
    <t>Công ty TNHH Nhựa Jin Xin VN
74,002,896,T</t>
  </si>
  <si>
    <t>Công ty TNHH Gwo Dyi Duty VN
74.002.454.T</t>
  </si>
  <si>
    <t xml:space="preserve">Công ty TNHH Đại Lê Nguyễn </t>
  </si>
  <si>
    <t>Công ty TNHH MTV In Ấn Thành Hoa
74.001.792.T
Ngày 04/10/2018. xe bồn vào nhưng khách hàng ko cho lấy</t>
  </si>
  <si>
    <t>Công ty TNHH 2002
74.000.813.T</t>
  </si>
  <si>
    <t xml:space="preserve">Công ty TNHH MTV Zhan Sheng
</t>
  </si>
  <si>
    <t>Công ty TNHH Zing Yong
74,002,788,T</t>
  </si>
  <si>
    <t>Công ty TNHH Yourway Tech VN
74,003,715,T</t>
  </si>
  <si>
    <t xml:space="preserve">Công ty TNHH Thanh Thanh Viễn
</t>
  </si>
  <si>
    <t>Công ty TNHH Forte Grow Medical Việt Nam
74.001.482.T</t>
  </si>
  <si>
    <t>Công ty TNHH Hưng Dụ
74.000.733.T</t>
  </si>
  <si>
    <t>Công ty TNHH Sản xuất Thương mại Dịch vụ Xuất nhập khẩu Kiệt Huy</t>
  </si>
  <si>
    <t>Công ty TNHH MTV Phụ Liệu Giày Rui Te
74,003,340,T</t>
  </si>
  <si>
    <t>Công ty Cổ Phần Công Viên Mô Tô
74,003,349,T</t>
  </si>
  <si>
    <t>Công ty TNHH MTV Nội Thất Tiến Phúc
74,003,167,T</t>
  </si>
  <si>
    <t>Công ty TNHH Ace World Vina
74.001.499.T</t>
  </si>
  <si>
    <t>Công ty TNHH Quốc Tế Han Young
74,002,307,T</t>
  </si>
  <si>
    <t>Lô 16, cụm công nghiệp Công ty Cổ Phần Thành Phố đẹp, Kp Ông Đông, Phường Tân Hiệp, TX Tân Uyên, BD</t>
  </si>
  <si>
    <t>Công ty TNHH Han Young Việt Nam
74,003,085,T,T</t>
  </si>
  <si>
    <t>Công ty TNHH  Bao bì Cửu Đức
74.000.190.T</t>
  </si>
  <si>
    <t>Công ty TNHH Thế Giới Mỹ Nghệ
74.001.042.T</t>
  </si>
  <si>
    <t>Công ty TNHH MTV Sơn Dầu Phú Thắng
74.002.050.T</t>
  </si>
  <si>
    <t>Công ty TNHH Gỗ Nguyễn Luân</t>
  </si>
  <si>
    <t>Công ty TNHH Vo Va
74,003,823,T</t>
  </si>
  <si>
    <t>Công ty TNHH MTV Nhôm Vạn Xuân Thành</t>
  </si>
  <si>
    <t>Công ty TNHH Cửa Green River
74.000.489.T</t>
  </si>
  <si>
    <t>Công ty TNHH WANG FENG I
74.001.069.T</t>
  </si>
  <si>
    <t>Công ty TNHH Sseco Vina
74.000.567.T</t>
  </si>
  <si>
    <t>Công ty TNHH Gỗ Hảo Hảo
74.002.900.T</t>
  </si>
  <si>
    <t>Công ty TNHH Vision Vina
74.001.036.T</t>
  </si>
  <si>
    <t>Công ty TNHH An Khang
74.001.173.T</t>
  </si>
  <si>
    <t>Công ty TNHH All Fine Việt Nam
74.001.954.T</t>
  </si>
  <si>
    <t>Công ty Cổ Phần Gỗ Tân Thành
74.000.838.T</t>
  </si>
  <si>
    <t>Công ty TNHH Một Thành Viên Quang Du
74.002.375.T</t>
  </si>
  <si>
    <t>Công ty TNHH Kettle Interiors Asia
Lấy lịch đúng cho khách hàng</t>
  </si>
  <si>
    <t>Công ty TNHH Jia Bao
74.000.004.T</t>
  </si>
  <si>
    <t>Công ty TNHH International Art Creation
74.001.571.T</t>
  </si>
  <si>
    <t>Công ty TNHH Sung Bu Global
74,001,049,T</t>
  </si>
  <si>
    <t>Công ty TNHH Sung Bu Vina
74,001,049,T</t>
  </si>
  <si>
    <t>Công ty TNHH Mộc Lâm
74.002.554.T</t>
  </si>
  <si>
    <t>Công ty TNHH Tân Dương
74.000.995.T</t>
  </si>
  <si>
    <t>Công ty TNHH Tài Phú</t>
  </si>
  <si>
    <t>Công ty TNHH MTV Kim Nga
74.002.664.T</t>
  </si>
  <si>
    <t>Công ty TNHH Đồ Gỗ Phú Nguyên
74.000.070.T</t>
  </si>
  <si>
    <t>Công ty TNHH CB Gỗ Shung Yang
74.000.808.T</t>
  </si>
  <si>
    <t>Công ty TNHH Vĩ Thịnh
74.002.683.T</t>
  </si>
  <si>
    <t>Công ty TNHH Hằng Xuyên
74,003,681,T</t>
  </si>
  <si>
    <t>Công ty TNHH Chế Biến Gỗ Hợp Thắng
74.001.171.T</t>
  </si>
  <si>
    <t>Công ty TNHH MTV Bạn Màu Quốc tế
74.002.260.T</t>
  </si>
  <si>
    <t xml:space="preserve">Công ty TNHH Thâm Viễn
74,003,316,T
</t>
  </si>
  <si>
    <t>Công ty TNHH Yuro Vina
74.000.549.T</t>
  </si>
  <si>
    <t>Công ty TNHH Wise Vision (Việt Nam)
74.000.260.T</t>
  </si>
  <si>
    <t>Công ty TNHH Jing Bo VN
74.002.772.T</t>
  </si>
  <si>
    <t>Công ty TNHH Guan Rui Furniture ( Việt Nam)</t>
  </si>
  <si>
    <t>Công ty TNHH MTV Lâm Dương
74.001.617.T</t>
  </si>
  <si>
    <t>Công ty TNHH Eishin Việt Nam
74,003,303,T</t>
  </si>
  <si>
    <t>Công ty TNHH PMA Industrier Việt Nam
74.001.736.T</t>
  </si>
  <si>
    <t>Công ty TNHH Vị Hảo</t>
  </si>
  <si>
    <t>Công ty TNHH Trường Vinh
74.001.597.T</t>
  </si>
  <si>
    <t>Công ty TNHH Vĩ Phong 
74.002.109.T</t>
  </si>
  <si>
    <t>Công ty TNHH Quốc Tế Hằng Phú
74.000.272.T</t>
  </si>
  <si>
    <t>Công ty TNHH MTV Châu Phúc Thiên Phát</t>
  </si>
  <si>
    <t>Công ty Sơn TNHH Sơn Công Nghiệp Thái Dương
74.002.186.T</t>
  </si>
  <si>
    <t xml:space="preserve">Công ty TNHH Sơn Công Nghiệp Thái Dương - Chi Nhánh Giày Tai Yang
</t>
  </si>
  <si>
    <t>Công ty TNHH Chấn Thăng
74,004,130,T</t>
  </si>
  <si>
    <t>Công ty TNHH Bao Bì Long Đức
74,003,880,T</t>
  </si>
  <si>
    <t>Công ty TNHH Sản Xuất U-A</t>
  </si>
  <si>
    <t>Công ty TNHH You Jia Việt Nam Furniture 
74,003,813,T</t>
  </si>
  <si>
    <t>Công ty TNHH Mực in Vạn Thông Việt Nam
74.002.211.T</t>
  </si>
  <si>
    <t>Công ty TNHH Bao Bì Giấy Vĩnh Thịnh
74.002.860.T</t>
  </si>
  <si>
    <t>Công ty TNHH MTV An Hồng Phát</t>
  </si>
  <si>
    <t>Công ty TNHH Sản Xuất Thương Mại Tân Vĩnh Tân</t>
  </si>
  <si>
    <t>Công ty TNHH Cao Su Tân Thành Tài</t>
  </si>
  <si>
    <t>Công ty TNHH Nội Thất Bai Yuan Việt Nam</t>
  </si>
  <si>
    <t>Công ty TNHH Bao Bì Giấy Song Nam Long
74.002.983.T</t>
  </si>
  <si>
    <t>Công ty TNHH Rehab Italian Design
74,003,152,T</t>
  </si>
  <si>
    <t>Công ty TNHH Gỗ Bát Phương
74,003,513,T</t>
  </si>
  <si>
    <t>Công ty Gỗ Kingsman Việt Nam
74,003,500.T</t>
  </si>
  <si>
    <t xml:space="preserve">Công ty TNHH Việt Thịnh Furniture
</t>
  </si>
  <si>
    <t>Làm việt qua Công ty phế liệu</t>
  </si>
  <si>
    <t>Công ty TNHH Kỹ Thuật YE Steel VN
74.002.376.T</t>
  </si>
  <si>
    <t>Công ty TNHH Long Hao
74,004,027,T</t>
  </si>
  <si>
    <t>Công ty TNHH Resin Young Ta Việt Nam</t>
  </si>
  <si>
    <t>Công ty TNHH Dream Vina
74.000.570.T</t>
  </si>
  <si>
    <t>Công ty TNHH Cường Thịnh
74.001.709.T</t>
  </si>
  <si>
    <t>Công ty TNHH Sản Xuất Thương Mại Quân Cường Thịnh</t>
  </si>
  <si>
    <t>Công ty TNHH C &amp; H Tarps
74.000.682.T</t>
  </si>
  <si>
    <t xml:space="preserve">Công ty TNHH GFS Việt Nam
</t>
  </si>
  <si>
    <t>Công ty CP Sản Xuất Lý Đan
74.000.817.T</t>
  </si>
  <si>
    <t>Công ty TNHH Hiệp Dịch Việt Nam
74,002,869,T</t>
  </si>
  <si>
    <t xml:space="preserve">Công ty TNHH MTV Gỗ Sâm Thành
74.003455T  </t>
  </si>
  <si>
    <t xml:space="preserve">Công ty TNHH Đồ Gỗ Gia Dụng Hằng An
</t>
  </si>
  <si>
    <t>Công ty TNHH Wealgate Việt Nam
74.002.120.T</t>
  </si>
  <si>
    <t>Công ty TNHH Phát Triển Máy Móc Ilsung
74,001,847,T</t>
  </si>
  <si>
    <t>Công ty TNHH N.I Print</t>
  </si>
  <si>
    <t>Công ty TNHH Tập Đoàn Nệm Kim Cương
74,001,960,T</t>
  </si>
  <si>
    <t>Công ty TNHH MTV Sản xuất Và Thương Mại Tú Bảo Tâm</t>
  </si>
  <si>
    <t>Công ty Cổ Phần Kính Vinacam
74,003,779,T</t>
  </si>
  <si>
    <t>Công ty TNHH Gỗ Huệ Phong</t>
  </si>
  <si>
    <t>Công ty TNHH Lê Hoàng Minh
74,000,886,T</t>
  </si>
  <si>
    <t>Công ty TNHH Hóa Chất Daliang VN
74.000.566.T</t>
  </si>
  <si>
    <t>Công ty Cổ Phần Tân Tấn Lộc
74,000,408,T</t>
  </si>
  <si>
    <t xml:space="preserve">Công ty TNHH Japan New Furniture Việt Nam </t>
  </si>
  <si>
    <t>Công ty TNHH Sao Việt Bình Dương</t>
  </si>
  <si>
    <t>Công ty TNHH Mộc Phúc</t>
  </si>
  <si>
    <t>Công ty TNHH Nội Thất Đất Vàng Việt Nam
74,004,083,T</t>
  </si>
  <si>
    <t>Công ty TNHH Master Sofa International
74.002.666.T</t>
  </si>
  <si>
    <t>Công ty TNHH Zylux Việt Nam
74,003,948,T</t>
  </si>
  <si>
    <t>Công ty TNHH Sewha Vina
74.003.070.T</t>
  </si>
  <si>
    <t>Chi Nhánh Công ty Cổ Phần Công Nghiệp Cao Su Miền Nam - Xí Nghiệp Lốp Radial
74,000,622,T</t>
  </si>
  <si>
    <t>Công ty TNHH Vking (VN) Rubber &amp; Plastic Technology
74.004.118.T</t>
  </si>
  <si>
    <t>Công ty TNHH Gỗ Changda Việt Nam
74,003,032,T</t>
  </si>
  <si>
    <t>Công ty TNHH Tân Thời 1
74,002,703,T</t>
  </si>
  <si>
    <t>Công ty TNHH Leaderart Inductries ( VN )
74,003,857,T</t>
  </si>
  <si>
    <t>Công ty TNHH Cheng Chia Wood
74.000.954.T</t>
  </si>
  <si>
    <t>Công ty TNHH Advanced Casting Asia
74,004,001,T</t>
  </si>
  <si>
    <t>Công ty TNHH Gỗ Omay Việt Nam</t>
  </si>
  <si>
    <t>Công ty TNHH Sewoon Medical Vina
74,002,663,T</t>
  </si>
  <si>
    <t>Công ty TNHH Sure Green ( Việt Nam)
74,004,056,T</t>
  </si>
  <si>
    <t>Công ty TNH Techno Coatings Industry
74,002,808,T</t>
  </si>
  <si>
    <t>Công ty TNHH Long Xiang Việt Nam</t>
  </si>
  <si>
    <t>Công ty TNHH H.B. Fuller ( Việt Nam)
74,003,780,T</t>
  </si>
  <si>
    <t>Công ty TNHH Liên Hưng
74,002,107,T</t>
  </si>
  <si>
    <t>Công ty TNHH Scon
74.004.038.T</t>
  </si>
  <si>
    <t>Công ty Cổ Phần Sản xuất Thương Mai Phân Bón Đất Xanh</t>
  </si>
  <si>
    <t>Công ty TNHH Hong Sheng Việt Nam
74,002,741,T</t>
  </si>
  <si>
    <t>Công ty TNHH Sản Xuất Thương Mại Đại Đại Phát</t>
  </si>
  <si>
    <t>Công ty TNHH Ti Gia</t>
  </si>
  <si>
    <t xml:space="preserve">Công ty TNHH Yongchang </t>
  </si>
  <si>
    <t>Công ty Cổ Phần Gạch Ngói Đồng Nai
74,000,941.T</t>
  </si>
  <si>
    <t>Chi Nhánh Công ty Cổ Phần Hợp Lực Quốc Tế</t>
  </si>
  <si>
    <t xml:space="preserve">Công ty TNHH Nội Thất Madeleine Sangzom
74,.003.336.T
</t>
  </si>
  <si>
    <t>Công ty TNHH Daying Plastics
74,003,549,T</t>
  </si>
  <si>
    <t>Công ty TNHH Tinh Vũ Đạt</t>
  </si>
  <si>
    <t>Công ty TNHH Compositegear Việt Nam
74,003,510,T</t>
  </si>
  <si>
    <t>Công ty TNHH Gold Phoenix Technology</t>
  </si>
  <si>
    <t>Công ty TNHH far East Foam VN
74,003,716,T</t>
  </si>
  <si>
    <t>Công ty TNHH Nội Thất Minh Thi - Chi Nhánh 1</t>
  </si>
  <si>
    <t>Công ty TNHH Giày Wei Ran</t>
  </si>
  <si>
    <t>Công ty TNHH Tata Coffee Việt Nam
74,003,749,T</t>
  </si>
  <si>
    <t>Công ty Cổ Phần Tập Đoàn Intimex
74,004,099,T</t>
  </si>
  <si>
    <t>Công ty TNHH T-K Vina
74,002,951,T</t>
  </si>
  <si>
    <t>Công ty TNHH Poong In Vina
74,000,397,T</t>
  </si>
  <si>
    <t>Công ty TNHH Sofa Hưng Vương
74,003,666,T</t>
  </si>
  <si>
    <t>Công ty TNHH Tân Thời
74,002,702,T</t>
  </si>
  <si>
    <t>Công ty TNHH Gỗ Yong Sheng</t>
  </si>
  <si>
    <t>Công ty TNHH TSRC (Việt Nam)
74,003,966,T</t>
  </si>
  <si>
    <t>Công ty TNHH DP Systems Electronic Mechanical Technology Việt Nam</t>
  </si>
  <si>
    <t>Công ty TNHH Vững Phát</t>
  </si>
  <si>
    <t>Công ty TNHH Công Nghệ Cao Su Hạc Khang
74,003,252,T</t>
  </si>
  <si>
    <t>Công ty TNHH Uyên Hưng Rong He Furniture</t>
  </si>
  <si>
    <t>Công ty TNHH Thuận Thái
74.001.829.T</t>
  </si>
  <si>
    <t>Công ty TNHH Cơ kHí Hữu Mậu</t>
  </si>
  <si>
    <t>Công ty TNHH Sankou Giken Việt Nam</t>
  </si>
  <si>
    <t>Công ty TNHH Yuwa Việt Nam
74.000.729.T</t>
  </si>
  <si>
    <t>Công ty TNHH Sản Xuất - Thương Mại - Dịch Vụ Harvest</t>
  </si>
  <si>
    <t>Chi Nhánh Công ty TNHH Ojitex ( Việt Nam )
74,003,138,T</t>
  </si>
  <si>
    <t>Công ty TNHH Kewpie Việt Nam
74.002.355.T</t>
  </si>
  <si>
    <t>Công ty TNHH Vision Vina</t>
  </si>
  <si>
    <t>Công ty Cổ Phần Thành Dương</t>
  </si>
  <si>
    <t>Công ty TNHH Kewpie Việt Nam</t>
  </si>
  <si>
    <t>Công ty TNHH Thế Giới Mỹ Nghệ</t>
  </si>
  <si>
    <t>Công ty TNHH Kỹ NGhệ Cửa Ý- Á Châu</t>
  </si>
  <si>
    <t>Công ty TNHH Dream Vina</t>
  </si>
  <si>
    <t xml:space="preserve">Công ty TNHH Sofa Hưng Vương
</t>
  </si>
  <si>
    <t>Công ty CP Cao Su Công Nghiệp Omexey</t>
  </si>
  <si>
    <t>Công ty Cổ Phần Plastic Đại Phú</t>
  </si>
  <si>
    <t>Công ty TNHH Phi Khang</t>
  </si>
  <si>
    <t>Công ty TNHH Gỗ Chấn Phong</t>
  </si>
  <si>
    <t>Công ty Cổ Phần Dược Phẩm Thiên Dược</t>
  </si>
  <si>
    <t>Công ty TNHH MTV Sản Xuất Ngũ Kim Hồng Thịnh</t>
  </si>
  <si>
    <t>Công ty TNHH máy Công Nghiệp Vũ Minh</t>
  </si>
  <si>
    <t>Công ty TNHH River Rich Industrial</t>
  </si>
  <si>
    <t>Công ty TNHH Thương Mại Và Sản Xuất Anh Em</t>
  </si>
  <si>
    <t>Công ty TNHH Jia Bao</t>
  </si>
  <si>
    <t>Công ty TNHH Cửa Green River</t>
  </si>
  <si>
    <t>Công ty TNHH Chế Biến Gỗ Nhựa Lâm Thành</t>
  </si>
  <si>
    <t>Công ty TNHH Fairway Furniture</t>
  </si>
  <si>
    <t>Công ty CP Chế Bê Tông Ly Tâm Thủ Đức 1</t>
  </si>
  <si>
    <t>Công ty TNHH TOC Việt Nam</t>
  </si>
  <si>
    <t>Công ty TNHH Việt Thịnh Furniture</t>
  </si>
  <si>
    <t>Công ty TNHH Kreators</t>
  </si>
  <si>
    <t>Công ty TNHH An Khang</t>
  </si>
  <si>
    <t>Công ty TNHH Yuwa Việt Nam</t>
  </si>
  <si>
    <t>Công ty TNHH DSM Nutritional Products</t>
  </si>
  <si>
    <t>Công ty TNHH Gỗ Hảo Hảo</t>
  </si>
  <si>
    <t>Công ty TNHH Đồ Gỗ Phú Nguyên</t>
  </si>
  <si>
    <t>Công ty TNHH Vking (VN) Rubber &amp; Plastic Technology</t>
  </si>
  <si>
    <t xml:space="preserve">Công ty Cổ Phần Tekcom </t>
  </si>
  <si>
    <t>Công ty TNHH Phát Triển Máy Móc Ilsung</t>
  </si>
  <si>
    <t>Công ty TNHH Earth Corporation Việt Nam</t>
  </si>
  <si>
    <t>Công ty TNHH Hansung Tech</t>
  </si>
  <si>
    <t>Công ty TNHH Master Sofa International</t>
  </si>
  <si>
    <t>Công ty TNHH Sodexo Việt Nam</t>
  </si>
  <si>
    <t>Công ty TNHH MTV Thực Phẩm Á Châu III</t>
  </si>
  <si>
    <t>Công ty TNHH Chấn Thăng</t>
  </si>
  <si>
    <t>Công ty TNHH Tân Thời</t>
  </si>
  <si>
    <t>Công ty TNHH Victory Inductrial</t>
  </si>
  <si>
    <t>Công ty TNHH Nhất A</t>
  </si>
  <si>
    <t>Công ty TNHH Daying Plastics</t>
  </si>
  <si>
    <t>Công ty TNHH Leaderart Inductries ( VN )</t>
  </si>
  <si>
    <t>Công ty TNHH Sungwon Medical</t>
  </si>
  <si>
    <t>Công ty TNHH Asflow Vina</t>
  </si>
  <si>
    <t xml:space="preserve">Công ty TNHH Maeve Furn
</t>
  </si>
  <si>
    <t>Công ty TNHH far East Foam VN</t>
  </si>
  <si>
    <t>Công ty TNHH Sản Xuất Thiên Đức Phát</t>
  </si>
  <si>
    <t>Công ty TNHH Jakob Sài Gòn</t>
  </si>
  <si>
    <t>Công ty TNHH Sản xuất Lâm Thanh</t>
  </si>
  <si>
    <t>Công ty TNHH Nội Thất Goldenland Viêt Nam
(Mang 20 bành đổi cho khách)</t>
  </si>
  <si>
    <t>Chi Nhánh Công ty Cổ Phần Công Nghiệp Cao Su Mền Nam - Xí Nghiệp Lốp Radial</t>
  </si>
  <si>
    <t>Công ty TNHH MTV Đồ Uống Toàn Cầu</t>
  </si>
  <si>
    <t>Công ty TNHH TSRC (Việt Nam)</t>
  </si>
  <si>
    <t>Công ty TNHH Nội Thất Minh Thi - CN 1</t>
  </si>
  <si>
    <t>Công ty TNHH Điện Tử Thông Minh TCL</t>
  </si>
  <si>
    <t>Công ty TNHH Nội Thất Madeleine Sangzom</t>
  </si>
  <si>
    <t>Chi Nhánh Công ty TNHH Ojitex ( Việt Nam )</t>
  </si>
  <si>
    <t xml:space="preserve">Công ty TNHH URC Việt Nam
</t>
  </si>
  <si>
    <t>Công ty TNHH PMA Industrier Việt Nam</t>
  </si>
  <si>
    <t>25/09/2023</t>
  </si>
  <si>
    <t>20/10/2025</t>
  </si>
  <si>
    <t>1 - Bóng đèn huỳnh quang thải và các loại thuỷ tinh hoạt tính 16 01 06
2 - Chất hấp thụ, vật liệu lọc (bao gồm cả vật liệu lọc dầu chưa nêu tại các mã khác) , giẻ lau , vải bảo vệ thải bị nhiễm các thành phần nguy hại 18 02 01 (rắn)
3 - Pin, ắc quy chì thải 19 06 01
4 - Cặn sơn thải 08 01 01
5 - Bao bì mền thải 18 01 01
6 - Bao bì cứng thải bằng kim loại bao gồm cả bình chứa áp suất rỗng hoàn toàn 18 01 02 (rắn)
7 - Dầu nhớt thải 17 02 04
8 - Hộp mực in thải 08 02 04
9 - Bao bì cứng bằng nhựa 18 01 03</t>
  </si>
  <si>
    <t xml:space="preserve">Chi nhánh Công ty Cổ Phần thương mại dịch vụ và sản xuất Lâm Hiệp Hưng
Địa chỉ: thửa đất số 1712,tờ bản đồ số 20, Tân Vĩnh Hiệp,thị xã Tân Uyên ,tỉnh Bình Dương
</t>
  </si>
  <si>
    <t>Công ty Cổ Phần thương mại dịch vụ và sản xuất Lâm Hiệp Hưng
74,003,351,T</t>
  </si>
  <si>
    <t>1 - Que hàn thải có các kim loại nặng hoặc thành phần nguy hại 07 04 01
2 - Xỉ hàn có các kim loại nặng hoặc các thành phần nguy hại 07 04 02
3 - Hộp mực in thải có các thành phần nguy hại 08 02 04
4 - Bóng đèn huỳnh quang và các loại thủy tinh hoạt tính thải 16 01 06
5 - Dầu thủy lực tổng hợp thải 17 01 06
6 - Các loại dầu động cơ, hộp số và bôi trơn thải khác 17 02 04
7 -Bao bì cứng thải bằng kim loại bao gồm cả bình chứa áp suất rỗng hoàn toàn 18 01 02 (rắn)
8- Bao bì mền thải 18 01 01
9 - Chất hấp thụ, vật liệu lọc (bao gồm cả vật liệu lọc dầu chưa nêu tại các mã khác) , giẻ lau , vải bảo vệ thải bị nhiễm các thành phần nguy hại 18 02 01 (rắn)
10 - Pin, ắc quy chì thải 19 06 01
11 - Boa bì cứng bằng nhựa 18 01 03
12- Các loại dầu truyền nhiệt và cách điện khác 17 03 05 (lỏng)
13-Dầu tổng hợp thải từ quá trình gia công trạo hình 07 03 05 (lỏng)
14- Vật thể để mài đã quá sử dụng có các TPNH (đá mài, giáy ráp)
15- Phoi từ quá trình gia công tạo hình hoặc liệu mài bị ra lẫn dầu, nhũ tương hay dung dịch thải có dầu hoặc các TPNH 07 03 11 (rắn)</t>
  </si>
  <si>
    <t>1 - Bóng đèn huỳnh quang thải 16 01 06
2 - Giẻ lau nhiễm các thành phần nguy hại 18 02 01
3 - Dầu nhớt thải 17 02 04
4 - Hộp mực in thải 08 02 04
5 - Bùn thải từ hệ thống XLNT 12 06 05
6 - Pin, ắc quy chì thải 19 06 01
7 - Ba vớ kim loại dính các thành phần nguy hại 07 03 11
8 - Thùng sắt đựnmg dầu nhớt 18 01 02
9 - Bao bì mền 18 01 01
10 - Thùng nhựa 18 01 03
11 - Xà bông, ba zờ tây rửa 07 01 03
12 - Dung dịch tẩy rửa dính thành phần nguy hại 07 01 06</t>
  </si>
  <si>
    <t>30/09/2025</t>
  </si>
  <si>
    <t>01 lần/6 tháng
12,6</t>
  </si>
  <si>
    <t>Công ty TNHH Sơn Hoa Việt</t>
  </si>
  <si>
    <t>Công ty TNHH Đạt Thành</t>
  </si>
  <si>
    <t>1 - Giẻ lau, bao tay dính sơn, dung môi thải 18 02 01 ( Rắn )
2 - Bóng đèn huỳnh quang thải 16 01 06 ( Rắn )
3 - Hộp mực in thải 08 02 04 ( Rắn )
4 - Pin, ắc quy chì thải 19 06 01 ( Rắn )
5 - Dầu nhớt thải 17 02 04(lỏng)
6 - Thùng kim loại đựng sơn, dung môi 18 01 02 ( Rắn )
7 - Thùng nhựa đựng sơn, dung môi 18 01 03 ( Rắn )
8 - Cặn sơn thải 08 01 02 ( Rắn/lỏng )
9 - Dung môi thải 17 08 03(lỏng)
10 - Gỗ vụn dính keo 09 01 01 ( Rắn )
11 - Rác y tế thải 13 01 01 ( Rắn )</t>
  </si>
  <si>
    <t>27/09/203</t>
  </si>
  <si>
    <t>27/09/2023</t>
  </si>
  <si>
    <t>Công ty TNHH Thanh Thanh Viễn</t>
  </si>
  <si>
    <t>Công ty TNHH Thương Mại Xăng Dầu Bình Hòa</t>
  </si>
  <si>
    <t>Công ty TNHH MTV Thương Mại An Hồng Phát</t>
  </si>
  <si>
    <t>Công ty TNHH Thương MạiCN Việt Thành</t>
  </si>
  <si>
    <t>Công ty TNHH Thương Mại Và sản xuất Sao Nam</t>
  </si>
  <si>
    <t>Công ty TNHH sản xuất Thương Mại DV XNK Kiệt Huy</t>
  </si>
  <si>
    <t>Công ty TNHH MTV Thương Mại sản xuất Thức Ăn Chăn Nuôi Thành Lợi
74.002.463.T</t>
  </si>
  <si>
    <t>Công ty TNHH sản xuất Thương Mại Thanh Long
74.002.998.T</t>
  </si>
  <si>
    <t>Công ty TNHH MTV sản xuất Thương Mại Chánh Đạt
74.002.958.T</t>
  </si>
  <si>
    <t>Công ty TNHH MTV sản xuất Thương Mại Chánh Đạt</t>
  </si>
  <si>
    <t>Công ty TNHH MTV sản xuất Nhất Tín
74,003,462.T</t>
  </si>
  <si>
    <t>Công ty TNHH sản xuất-Thương Mại SÀI GÒN RIVER VN
74.001.542.T</t>
  </si>
  <si>
    <t>Công ty TNHH sản xuất Thương Mại Dịch Vụ Tân Đồng Tiến
74.002.622.T</t>
  </si>
  <si>
    <t>Công ty TNHH sản xuất Gỗ Ousen
Tên Mới: Công ty TNHH Cách Tư Đồ</t>
  </si>
  <si>
    <t>Công ty TNHH Thương Mại sản xuất Phúc Anh Phát</t>
  </si>
  <si>
    <t>1 xe thùng nhỏ</t>
  </si>
  <si>
    <t>Công ty TNHH Phong Thạnh Phát</t>
  </si>
  <si>
    <t>TĐS 7 và TĐS 12, TBĐ 9A, Tổ 1, Kp Ông Đông, phường Tân Hiệp, tx Tân Uyên, tỉnh Bình Dương</t>
  </si>
  <si>
    <t>Nylon, dây dai, mút xóp, giấy vụn, gỗ vụn, vải bun</t>
  </si>
  <si>
    <t>1 lần / 6 tháng 
11/2023 và 4/2024</t>
  </si>
  <si>
    <t>10/10/2023</t>
  </si>
  <si>
    <t>Công ty TNHH Đàu Tư Phát triển nhà và Đô thị Hoàng Nam</t>
  </si>
  <si>
    <t>Khu nhà ở thương mại Hoàng Nam Uyên Hưng ( Đường Tố Hữu, phường Uyên Hưng, Tp Tân Uyên, tỉnh Bình Dương)</t>
  </si>
  <si>
    <t>1- Dầu, nhớt, mỗ thải (dầu máy) 17 04 02 (lỏng)2- Sơn, mực, chát kết dính và nhựa thải có chứa TPNH (rắn/lỏng) 16 01 09
3- Pin, ắc quy chì thải 19 06 01 (rắn)
4- Linh kiện thiết bị điện tử, đèn led 16 01 13 (rắn)
5- Bao bì mền(đã chứa chất khi thải ra là CTNH( thải 18 01 01 (rắn)
6- Bao bì cứng kim loại: Chai xịt côn trùng, chay xịt phòng 18 01 02 (rắn)
7- Bao bì nhựa cứng (đã chứa chất khi thỉa ra là CTNH) thải 18 01 03 (rắn)
8- Giẻ lau thải bị nhiễm các TPNH 18 02 01 (Rắn)
9- Than hoạt tính thải từ hệ thống xử lý mùi hôi 12 01 04 (Rắn)</t>
  </si>
  <si>
    <t>Công ty TNHH Thương Mại Và Kỹ Nghệ Đại Hải
74.0001.276.T</t>
  </si>
  <si>
    <t>Công ty TNHH Siêu Thịnh
74.000.792.T</t>
  </si>
  <si>
    <t>Công ty TNHH Sản Xuất Công Nghiệp Kiến Phát
74.000.791.T</t>
  </si>
  <si>
    <t>Công ty TNHH Sản Xuất Và Tiếp Vận Hồng Đức</t>
  </si>
  <si>
    <t>1- chất thải hầm cầu, bùn thải bể tự hoại, nước thải sinh hoạt</t>
  </si>
  <si>
    <t>16/10/2023</t>
  </si>
  <si>
    <t>Công ty TNHH sản xuất Thương Mại Xuất nhập khẩu Thanh Hoàng Lâm
74.002.118.T</t>
  </si>
  <si>
    <t>18/10/2023</t>
  </si>
  <si>
    <t>Công Ty TNHH Xây dựng Rising Sun
74,003,985,T</t>
  </si>
  <si>
    <t>thửa đất số 865, tờ bản đố số 12, ấp Tần Hóa, Tân Vĩnh Hiệp, Tần Uyên, Bình Dương</t>
  </si>
  <si>
    <t>KP Mỹ Hiệp, PThái Hòa, Tân Uyên, Bình Dương</t>
  </si>
  <si>
    <t>4, ngưng 21/10</t>
  </si>
  <si>
    <t>1 - Bóng đènhuỳnh quang 16 01 06
2 - Giẻ lau dính dầu nhớt, sơn, dung môi, keo 18 02 01
3 - Hộp mực in  08 02 04
4 - Dầu nhớt thải 17 02 04
5 - Bùn thải từ HTXLNT  12 06 05
6 - Rác y tế 13 01 01
7 - Keo thải 08 03 01
8 - Sơn thải 08 01 01
9 - Pin, ắc quy chì thải 19 06 01
10 - Thùng kim loại đựng dầu nhớt, sơn, dung môi 18 01 02
11 - Bao bì nhựa keo 18 01 03
12 - Dung môi thải 17 08 03
13 - Gỗ vụn dính keo, sơn thải 09 01 01</t>
  </si>
  <si>
    <t>25/10/2023</t>
  </si>
  <si>
    <t>03/09/2026</t>
  </si>
  <si>
    <t>4, ngưng 18/10</t>
  </si>
  <si>
    <t>Rác công nghiệp: Nilon, mút xốp, carton, xà bần</t>
  </si>
  <si>
    <t>Công ty TNHH Sản Xuất Công Nghiệp Kiến Phát</t>
  </si>
  <si>
    <t>CÔNG TY TNHH GIA CÔNG RĂNG THỜI ĐẠI KỸ THUẬT SỐ</t>
  </si>
  <si>
    <t>Công ty TNHH Home Decor Caichen</t>
  </si>
  <si>
    <t>Công ty TNH Techno Coatings Industry</t>
  </si>
  <si>
    <t>1/ Dầu động cơ, hộp số và bôi trơn 17 02 03 
2/ Bao bì mềm thải 18 01 01 
3/ Giẻ lau, bao tay nhiễm thành phần nguy hại 18 02 01 
4/ Bao bì cứng thải bằng kim loại đựng dầu nhớt 18 01 02 
5/ Bóng đèn huỳnh quang thải 16 01 06 
6/ Bao bì cứng thải bằng nhựa đựng mực in, dung môi, hóa chất, sơn 18 01 03 
7/ Pin - ắc quy chì thải 19 06 01 
08/ Hộp mực in văn phòng 08 02 04 
9/ Cặn sơn thải 08 01 01 
10/ Bụi kim loại dính dầu 07 03 11 
11/ Dung môi thải 08 01 05 
12/ Dầu mỡ thải từ hệ thống XLNT 07 01 07 
13/ Bùn thải từ hệ thống XLNT 12 06 06 
14/ Than hoạt tính đã qua sử dụng 12 01 04 
15/ Các tấm lọc bụi filter 07 05 13
16/ Xỉ hàn có cách kim loại nặng 07 04 02</t>
  </si>
  <si>
    <t>ngưng 28/10</t>
  </si>
  <si>
    <t>31/10/2023</t>
  </si>
  <si>
    <t>1 - Các loại dầu động cơ, hộp số và bôi trơn thải khác 17 02 04 (lỏng)
2 - Chất hấp thụ, vật liệu lọc (bao gồm cả vật liệu lọc dầu chưa nêu tại các mã khác) , giẻ lau , vải bảo vệ thải bị nhiễm các thành phần nguy hại 18 02 01 (rắn)
3 - Bóng đèn huỳnh quang và các loại thuỷ tinh hoạt tính thải 16 01 06
4 - Dầu tổng hơp thải tứ quá trình gia công tạo hình 07 03 05
5 - Bùn thải có thành phần nguy hại tứ quá trình gia công tạo hình 07 03 07
6 - Vật thể mài đã qua sử dụng csoc các TPNH (đá mài, giấy ráp,...) 07 03 10
7 - Phoi từ quá trình gia công tạo hình hoặc vật liệu bị mài ra lẫn dầu, nhũ tương hay dung dịch thải có dầu hoặc các thành phần nguy hại 07 03 11
8 - Dầu thủy lực tổng hợp thải 17 01 06
9 - Bao bì mền thải 18 01 01
10 - Bao bì cứng thải bằng kim loại bao gồm cả bình chứa áp suất rỗng hoàn toàn 18 01 02 (rắn)
11 - Bao bì cứng bằng nhựa 18 01 03
12 - Pin, ắc quy chì thải 19 06 01</t>
  </si>
  <si>
    <t>Khu phố Bình Khánh, phường Khánh Bình, Tp Tân Uyên, tỉnh BÌnh Dương, Việt Nam)</t>
  </si>
  <si>
    <t>Giấy vụn, carton, gỗ vụn, dây dai, nilon, mút xốp</t>
  </si>
  <si>
    <t>119 Điện Biên Phủ, P Đa Kao, quận 1, TP.HCM, VN
Địa chỉ thu gom: Chi Nhánh Công ty Cổ Phần Gạch Ngói Đồng Nai - Nhà Máy Gạch Ngói Việt Đức, thửa đất số 55, Đường ĐT 747, Kp 7, P Uyên Hưng, Tp Tân Uyên, BD</t>
  </si>
  <si>
    <t>1 - Bóng đèn huỳnh quang và các loại thuỷ tinh hoạt tính thải 16 01 06(rắn)
2 - Pin, ắc quy chì thải 19 06 01(rắn)
3 - Hộp mực in thải có các thành phần nguy hại 08 02 04(rắn)
4 - Bao bì chứa dâu nhớt 18 01 01(rắn)
5 - Giẻ lau dính dầu nhớt 18 02 01(rắn)
6 - Dâu nhớt thải 17 02 04(lỏng)</t>
  </si>
  <si>
    <t>1 - Bóng đèn huỳnh quang thải 16 01 06 (Rắn)
2 - Giẻ lau, bao tay dính dầu nhớt thải 18 02 01 (Rắn)
3 - Keo thải 08 03 01 ( Lỏng)
4 - Bao bì cứng bằng kim loại 18 01 02(Rắn)
5 - Bao bì mền dính thành phần nguy hại 18 01 01(Rắn)
6 - Cặn sơn thải 08 01 01(Rắn)</t>
  </si>
  <si>
    <t>Công ty TNHH Pottery Craft Asia</t>
  </si>
  <si>
    <t>nylon, dây đai, mút xốp, gỗ vụn, giấy vụn</t>
  </si>
  <si>
    <t>Công ty TNHH tập đoàn Nệm Kim Cương</t>
  </si>
  <si>
    <t>Công ty TNHH Nhựa Huiye (Việt Nam)
74,000,362,T</t>
  </si>
  <si>
    <t>01 lần/3tháng
3,6,9,11</t>
  </si>
  <si>
    <t>1 - Hộp mực in thải có chứa các TPNH 08 02 04( Rắn )
2 - Bóng đèn huỳnh quang thải và các loại thuỷ tinh hoạt tính 16 01 06( Rắn )
3 - Các loại dầu động cơ, hộp số và bôi trơn thải khác 17 02 04 ( Lỏng)
4 -Bao bì mền thải 18 01 01( Rắn )
5 -Bao bì cứng thải bằng kim loại bao gồm cả bình chứa áp suất rỗng hoàn toàn 18 01 02 (rắn)
6 - Chất hấp thụ, vật liệu lọc (bao gồm cả vật liệu lọc dầu chưa nêu tại các mã khác) , giẻ lau , vải bảo vệ thải bị nhiễm các thành phần nguy hại 18 02 01 (rắn)
7 - Pin, ắc quy chì thải 19 06 01( Rắn )
8 - Các loại chất thải khác chứa thành phần nguy hại hữu cơ 19 12 02( Rắn )
9 - Các loại chất thải khác chứa thành phần nguy hại vô cơ và hữu cơ  19 12 03( Rắn )</t>
  </si>
  <si>
    <t>07/11/2023</t>
  </si>
  <si>
    <t>1 - Thùng đựng dầu nhớt, sơn 18 01 01 (rắn)
2 - Giẻ lau dính dầu nhớt, sơn 18 02 01(rắn)
3 - Dầu nhớt thải 17 02 04(lỏng)
4 - Bóng đèn huỳnh quang thải 16 01 06(rắn)
5 - Hộp mực in thải 08 02 04 (rắn)
6 - Pin, ắc quy chì thải 19 06 01 (rắn)
7 - Cặn sơn 08 01 01( lỏng)
8 - Keo thải 08 03 01(lỏng)</t>
  </si>
  <si>
    <t>Lô B11, KCN Đất Cuốc, Khu A, Ấp Tân Lơi, Xã Đất Cuốc, Huyện Bắc Tân Uyên, Tỉnh BD</t>
  </si>
  <si>
    <t>Công ty TNHH Dai Sheng Enterprise Việt Nam
74.000.412.T</t>
  </si>
  <si>
    <t>1 - Hộp mực in 08 02 04 ( Rắn)
2 - Bóng đèn huỳnh quang thải 16 01 06( Rắn)
3 - Pin, ắc quy chì thải 19 06 01( Rắn)
4 - Giẻ lau, bao tay dính dầu nhớt 18 02 01( Rắn)
5 - Bao bì mền dính thành phần nguy hại 18 01 01( Rắn)
6 - Bao bì cứng bằng nhựa dính chát thải nguy hại (thùng 5-20l)  18 01 03( Rắn)
7 - Keo lõi thải 08 03 01( Rắn)
8 - Dầu nhớt thải 17 02 04 ( Lỏng)
9 - Hộp mực in thải 08 02 04( Rắn)
10 - Bao bì cứng bằng kim loại (thùng phuy sắt 200L) 18 01 02( Rắn) (Ghi chú số cái)
11 - Bao bì cứng bằng nhựa ( Bồn nhựa 1000)( Rắn)(Ghi chú số cái)</t>
  </si>
  <si>
    <t>Thùng nhỏ</t>
  </si>
  <si>
    <t>Công ty TNHH Gỗ Sạch</t>
  </si>
  <si>
    <t>1 lần / 2 tháng
1,3,5,7,9,11</t>
  </si>
  <si>
    <t>Góc đường N5 và  đường D1b, Cụm Công Nghiệp Phú Chánh 1, xã Phú Chánh, Tp Tân Uyên, Tỉnh Bd</t>
  </si>
  <si>
    <t>Nylon, dây dai, mút xốp, carton, giấy vụn, vải vụn, nhựa thải</t>
  </si>
  <si>
    <t>Hộ Kinh Doanh Bùi Đức Thiên</t>
  </si>
  <si>
    <t>TĐS 101,102,115,443,444,445,119,448, TBĐS 11, Ấp 1, xã Thường Tân, huyện Bắc Tân Uyên, tỉnh Bình Dương</t>
  </si>
  <si>
    <t>1 Bóng đèn huỳnh quang và các loại thủy tinh hoạt tính thải 16 01 06 (rắn)
2 Bao bì cứng thải bằng kim loại bao gồm cả bình chứa áp suất rỗng hoàn toàn 18 01 02 (rắn)
3 Bao bì cứng thải bằng nhựa 18 01 03 (rắn)
4 Chất hấp thụ, vật liệu lọc (bao gồm cả vật liệu lọc dầu chưa nêu tại các mã khác) , giẻ lau , vải bảo vệ thải bị nhiễm các thành phần nguy hại 18 02 01 (rắn)
5 Pin, ắc quy chì thải 19 06 01 (rắn)
6 Dầu động cơ, hộp số và bôi trơn thải khác 17 02 04 (lỏng)
7 Hộp mực in thải có các TPNH 08 02 04 (rắn)
8 Cặn sơn, sơn, vecni thải có các thành phần dung môi hữu cơ hoặc các thành phần nguy hại khác 08 01 01 (rắn/lỏng)
9 Dung môi thải 17 08 03 (lỏng)
10 Bao bì mềm thải 18 01 01</t>
  </si>
  <si>
    <t>Công ty TNHH Công nghệ kỹ thuật điều khiển thông tinh P&amp;C</t>
  </si>
  <si>
    <t>1- Thiết bị điện tử thải 19 02 05 (rắn)</t>
  </si>
  <si>
    <t>1- Nylon, giáy vụn, dây dai, mút xopps, gỗ vụn
2- Tro thải từ lò đốt</t>
  </si>
  <si>
    <r>
      <t xml:space="preserve">Ký lại
</t>
    </r>
    <r>
      <rPr>
        <b/>
        <sz val="14"/>
        <rFont val="Times New Roman"/>
        <family val="1"/>
      </rPr>
      <t>Theo Yêu Cầu</t>
    </r>
  </si>
  <si>
    <r>
      <t xml:space="preserve">01 lần/3tháng
</t>
    </r>
    <r>
      <rPr>
        <b/>
        <sz val="14"/>
        <rFont val="Times New Roman"/>
        <family val="1"/>
      </rPr>
      <t>1,4,7,10</t>
    </r>
  </si>
  <si>
    <r>
      <t xml:space="preserve">1 -Thùng đựng dầu nhớt bao bì đựng sơn, dung môi, keo thải ( phuy 220 lit) 18 01 01 </t>
    </r>
    <r>
      <rPr>
        <b/>
        <sz val="14"/>
        <rFont val="Times New Roman"/>
        <family val="1"/>
      </rPr>
      <t>(ghi chú bao nhiêu cái)</t>
    </r>
    <r>
      <rPr>
        <sz val="14"/>
        <rFont val="Times New Roman"/>
        <family val="1"/>
      </rPr>
      <t xml:space="preserve">
2  - Giẻ lau dính dầu nhớt, dung môi, sơn, keo;  18 02 01
3 -  Dầu nhớt thải;  17 02 04
4 -  Màng xopps xử lý bụi sơn 18 02 01
5 - Keo thải;  08 03 01
6 - Sơn thải;  08 01 01
7 - Dung môi thải; 17 08 03
8 -  Bóng đèn huỳnh quang thải; 16 01 06
9 -  Hộp mực in thải; 08 02 04
10 -  Pin ắc quy chì thải;  19 06 01
</t>
    </r>
  </si>
  <si>
    <r>
      <t xml:space="preserve">Ký mới 
</t>
    </r>
    <r>
      <rPr>
        <b/>
        <sz val="14"/>
        <rFont val="Times New Roman"/>
        <family val="1"/>
      </rPr>
      <t>Theo Yêu cầu</t>
    </r>
  </si>
  <si>
    <r>
      <t xml:space="preserve">01 lần/3tháng
</t>
    </r>
    <r>
      <rPr>
        <b/>
        <sz val="14"/>
        <rFont val="Times New Roman"/>
        <family val="1"/>
      </rPr>
      <t>3,6,9,12</t>
    </r>
  </si>
  <si>
    <r>
      <t xml:space="preserve">01 lần/2tháng
</t>
    </r>
    <r>
      <rPr>
        <b/>
        <sz val="14"/>
        <rFont val="Times New Roman"/>
        <family val="1"/>
      </rPr>
      <t>1,3,5,7,9,11</t>
    </r>
  </si>
  <si>
    <r>
      <t xml:space="preserve">01 lần/2tháng
</t>
    </r>
    <r>
      <rPr>
        <b/>
        <sz val="14"/>
        <rFont val="Times New Roman"/>
        <family val="1"/>
      </rPr>
      <t>2,4,6,8,10,12</t>
    </r>
  </si>
  <si>
    <r>
      <t xml:space="preserve">01 lần/tháng
</t>
    </r>
    <r>
      <rPr>
        <b/>
        <sz val="14"/>
        <rFont val="Times New Roman"/>
        <family val="1"/>
      </rPr>
      <t>1,3,5,7,9,11</t>
    </r>
  </si>
  <si>
    <r>
      <t xml:space="preserve">Kp 1B, P.An Phú, Thuận An, BD
</t>
    </r>
    <r>
      <rPr>
        <b/>
        <sz val="14"/>
        <rFont val="Times New Roman"/>
        <family val="1"/>
      </rPr>
      <t>Địa chỉ thu gom: Nhà xưởng số 9, đường N6B, cụm CN Phú Chánh, phường Phú Chánh, thị xã Tân Uyên, tỉnh Bình Dương</t>
    </r>
  </si>
  <si>
    <r>
      <t xml:space="preserve">01 lần/3tháng
</t>
    </r>
    <r>
      <rPr>
        <b/>
        <sz val="14"/>
        <rFont val="Times New Roman"/>
        <family val="1"/>
      </rPr>
      <t>2,5,8,11</t>
    </r>
  </si>
  <si>
    <r>
      <rPr>
        <sz val="14"/>
        <rFont val="Times New Roman"/>
        <family val="1"/>
      </rPr>
      <t>số C12/31, tổ 31, KP Bình Thuận 2, Thuận Giao, TA, BD</t>
    </r>
    <r>
      <rPr>
        <b/>
        <sz val="14"/>
        <rFont val="Times New Roman"/>
        <family val="1"/>
      </rPr>
      <t xml:space="preserve">
Địa chỉ thu gom: Số 07 vsip II-A, đường số 14, KCN VN Singapor II A, Tân uyên, BD</t>
    </r>
  </si>
  <si>
    <r>
      <rPr>
        <sz val="14"/>
        <rFont val="Times New Roman"/>
        <family val="1"/>
      </rPr>
      <t>CÔNG TY TNHH SEJIN SILICONE VINA</t>
    </r>
    <r>
      <rPr>
        <b/>
        <sz val="14"/>
        <rFont val="Times New Roman"/>
        <family val="1"/>
      </rPr>
      <t xml:space="preserve">
74.003.224.T </t>
    </r>
  </si>
  <si>
    <r>
      <t xml:space="preserve">01 lần/3tháng
</t>
    </r>
    <r>
      <rPr>
        <b/>
        <sz val="14"/>
        <rFont val="Times New Roman"/>
        <family val="1"/>
      </rPr>
      <t>9,12,03,06</t>
    </r>
  </si>
  <si>
    <r>
      <t xml:space="preserve">01 lần/3tháng
</t>
    </r>
    <r>
      <rPr>
        <b/>
        <sz val="14"/>
        <rFont val="Times New Roman"/>
        <family val="1"/>
      </rPr>
      <t>10,01,4,7</t>
    </r>
  </si>
  <si>
    <r>
      <t xml:space="preserve">01 lần/2tháng
</t>
    </r>
    <r>
      <rPr>
        <b/>
        <sz val="14"/>
        <rFont val="Times New Roman"/>
        <family val="1"/>
      </rPr>
      <t>1,3,5,7,9,11</t>
    </r>
    <r>
      <rPr>
        <sz val="14"/>
        <rFont val="Times New Roman"/>
        <family val="1"/>
      </rPr>
      <t xml:space="preserve">
</t>
    </r>
  </si>
  <si>
    <r>
      <t xml:space="preserve">32/8 KP Tây A, P. Đông Hòa, TX Dĩ An, BD
</t>
    </r>
    <r>
      <rPr>
        <b/>
        <sz val="14"/>
        <rFont val="Times New Roman"/>
        <family val="1"/>
      </rPr>
      <t>Địa chỉ thu gom: Số 10, đường Dx4, Tân Hóa, Tân Vĩnh Hiệp, TU, BD</t>
    </r>
  </si>
  <si>
    <r>
      <t xml:space="preserve">01 lần/2tháng
</t>
    </r>
    <r>
      <rPr>
        <b/>
        <sz val="14"/>
        <rFont val="Times New Roman"/>
        <family val="1"/>
      </rPr>
      <t xml:space="preserve">2,4,6,8,10,12
</t>
    </r>
  </si>
  <si>
    <r>
      <t xml:space="preserve">Lô R1, R2, Đường D6 Và N11, KCN Nam Tân Uyên, Khánh Bình, TX Tân Uyên, BD
</t>
    </r>
    <r>
      <rPr>
        <b/>
        <sz val="14"/>
        <rFont val="Times New Roman"/>
        <family val="1"/>
      </rPr>
      <t>địa chỉ thu gom: thửa đất số 201, tờ bản đồ số 22, tổ 3, KP Ông Đông, P tân Hiệp, TX tân Uyên, BD</t>
    </r>
  </si>
  <si>
    <r>
      <t xml:space="preserve">01 lần/tháng
</t>
    </r>
    <r>
      <rPr>
        <b/>
        <sz val="14"/>
        <rFont val="Times New Roman"/>
        <family val="1"/>
      </rPr>
      <t xml:space="preserve">
</t>
    </r>
  </si>
  <si>
    <r>
      <t xml:space="preserve">Tổ 1, Ấp Khánh Lộc, Khánh Bình, Tân Uyên, Bình Dương
Địa chỉ mới: </t>
    </r>
    <r>
      <rPr>
        <b/>
        <sz val="14"/>
        <rFont val="Times New Roman"/>
        <family val="1"/>
      </rPr>
      <t>Lô đất A24, A28, A29 Đường số 5, Cụm công nghiệp Uyên Hưng, Phường Uyên Hưng, TX Tân Uyên, Bình Dương</t>
    </r>
  </si>
  <si>
    <r>
      <t xml:space="preserve">01 lần/3tháng
</t>
    </r>
    <r>
      <rPr>
        <b/>
        <sz val="14"/>
        <rFont val="Times New Roman"/>
        <family val="1"/>
      </rPr>
      <t>2.5,8,11</t>
    </r>
  </si>
  <si>
    <r>
      <t xml:space="preserve">ĐLộ Bình Dương, Thuận Giao, TA, BD
</t>
    </r>
    <r>
      <rPr>
        <b/>
        <sz val="14"/>
        <rFont val="Times New Roman"/>
        <family val="1"/>
      </rPr>
      <t>( Thu gom: Xí Nghiệp Sản Xuất Bê Tông, đường N3-N4, KCN KSB, Bắc Tân Uyên, tỉnh Bình Dương</t>
    </r>
  </si>
  <si>
    <r>
      <t xml:space="preserve">Lô M1, M2, M7, M8, Đường N2, N3, KCN Nam Tân Uyên mở rộng, Phường Hội Nghĩa, Thị Xã Tân Uyên, Tỉnh Bình Dương
địa chỉ thu gom: </t>
    </r>
    <r>
      <rPr>
        <b/>
        <sz val="14"/>
        <rFont val="Times New Roman"/>
        <family val="1"/>
      </rPr>
      <t>Một phần lô M3,M4, Đường D2 và N3, KCN  Nam Tân Uyên Mở Rộng, Phường Hội Nghĩa, TX tân Uyên, Tỉnh Bình Dương, VN</t>
    </r>
  </si>
  <si>
    <r>
      <t xml:space="preserve">01 lần/3tháng
</t>
    </r>
    <r>
      <rPr>
        <b/>
        <sz val="14"/>
        <rFont val="Times New Roman"/>
        <family val="1"/>
      </rPr>
      <t>2,5,8,11</t>
    </r>
    <r>
      <rPr>
        <sz val="14"/>
        <rFont val="Times New Roman"/>
        <family val="1"/>
      </rPr>
      <t xml:space="preserve">
</t>
    </r>
  </si>
  <si>
    <r>
      <t xml:space="preserve">Thửa đất 106, tở bản đồ số C3-2 (DC22) KP Bình Phú, P Bình Chuẩn, TP Thuận An, Bình Dương
</t>
    </r>
    <r>
      <rPr>
        <b/>
        <sz val="14"/>
        <rFont val="Times New Roman"/>
        <family val="1"/>
      </rPr>
      <t>Địa chỉ thu gom: Một Phần Thửa đất số 558, tờ bản đồ số 07, KP Bình Hòa 1, P Tân Phước KHánh, TX Tân Uyên, Bình Dương, Việt Nam</t>
    </r>
  </si>
  <si>
    <r>
      <t xml:space="preserve">01 lần/6tháng
</t>
    </r>
    <r>
      <rPr>
        <b/>
        <sz val="14"/>
        <rFont val="Times New Roman"/>
        <family val="1"/>
      </rPr>
      <t>3,9</t>
    </r>
    <r>
      <rPr>
        <sz val="14"/>
        <rFont val="Times New Roman"/>
        <family val="1"/>
      </rPr>
      <t xml:space="preserve">
</t>
    </r>
  </si>
  <si>
    <r>
      <t xml:space="preserve">ký lại 
26/03/2014
</t>
    </r>
    <r>
      <rPr>
        <b/>
        <sz val="14"/>
        <rFont val="Times New Roman"/>
        <family val="1"/>
      </rPr>
      <t>Đức báo ngưng thu gom
(4)</t>
    </r>
  </si>
  <si>
    <r>
      <t xml:space="preserve">01 lần/3tháng
</t>
    </r>
    <r>
      <rPr>
        <b/>
        <sz val="14"/>
        <rFont val="Times New Roman"/>
        <family val="1"/>
      </rPr>
      <t>3,6,9,12</t>
    </r>
    <r>
      <rPr>
        <sz val="14"/>
        <rFont val="Times New Roman"/>
        <family val="1"/>
      </rPr>
      <t xml:space="preserve">
</t>
    </r>
  </si>
  <si>
    <r>
      <t xml:space="preserve">01 lần/3tháng
</t>
    </r>
    <r>
      <rPr>
        <b/>
        <sz val="14"/>
        <rFont val="Times New Roman"/>
        <family val="1"/>
      </rPr>
      <t>1,4,7,10</t>
    </r>
    <r>
      <rPr>
        <sz val="14"/>
        <rFont val="Times New Roman"/>
        <family val="1"/>
      </rPr>
      <t xml:space="preserve">
</t>
    </r>
  </si>
  <si>
    <r>
      <t xml:space="preserve">Ký mới 
10/12/2012
</t>
    </r>
    <r>
      <rPr>
        <b/>
        <sz val="14"/>
        <rFont val="Times New Roman"/>
        <family val="1"/>
      </rPr>
      <t>(Theo Yêu cầu)</t>
    </r>
  </si>
  <si>
    <r>
      <t xml:space="preserve">Số 5, đường đồng Nai, Phường 2, Quận Tân Bình. TP.HCM
</t>
    </r>
    <r>
      <rPr>
        <b/>
        <sz val="14"/>
        <rFont val="Times New Roman"/>
        <family val="1"/>
      </rPr>
      <t>địa chỉ thu gom: Thửa đất số 65, tờ bản đồ số 1, KP Cây Càm, Phường Thạnh Phước, TX tân Uyên, BD</t>
    </r>
  </si>
  <si>
    <r>
      <t xml:space="preserve">01 lần/3tháng
</t>
    </r>
    <r>
      <rPr>
        <b/>
        <sz val="14"/>
        <rFont val="Times New Roman"/>
        <family val="1"/>
      </rPr>
      <t>1,3,5,7,9,11</t>
    </r>
  </si>
  <si>
    <r>
      <t xml:space="preserve">01 lần/6tháng
</t>
    </r>
    <r>
      <rPr>
        <b/>
        <sz val="14"/>
        <rFont val="Times New Roman"/>
        <family val="1"/>
      </rPr>
      <t>5,11</t>
    </r>
    <r>
      <rPr>
        <sz val="14"/>
        <rFont val="Times New Roman"/>
        <family val="1"/>
      </rPr>
      <t xml:space="preserve">
</t>
    </r>
  </si>
  <si>
    <r>
      <t xml:space="preserve">01 lần/3tháng
</t>
    </r>
    <r>
      <rPr>
        <b/>
        <sz val="14"/>
        <rFont val="Times New Roman"/>
        <family val="1"/>
      </rPr>
      <t>3.6.9.12</t>
    </r>
  </si>
  <si>
    <r>
      <t xml:space="preserve">819A, Hà Huy Giáp, P Thạnh Xuân, Quận 12, TP.HCM
</t>
    </r>
    <r>
      <rPr>
        <b/>
        <sz val="14"/>
        <rFont val="Times New Roman"/>
        <family val="1"/>
      </rPr>
      <t xml:space="preserve">địa chỉ thu gom: TĐS 756, TBĐS 21, KP Tân Bình, P Tân Hiệp, TX Tân Uyên, BD
</t>
    </r>
  </si>
  <si>
    <r>
      <t xml:space="preserve">Ký lại 
21/07/2014
</t>
    </r>
    <r>
      <rPr>
        <b/>
        <sz val="14"/>
        <rFont val="Times New Roman"/>
        <family val="1"/>
      </rPr>
      <t>Theo yêu cầu</t>
    </r>
  </si>
  <si>
    <r>
      <t xml:space="preserve">1 - Cặn sơn, sơn, vecni thải có các thành phần dung môi hữu cơ hoặc các thành phần nguy hại khác 08 01 01 (lỏng)
2 -Các loại dung môi và hổn hợp dung môi 17 08 03
3 - Muối và dung dịch muối thải có kim loại nặng  02 03 02
</t>
    </r>
    <r>
      <rPr>
        <sz val="14"/>
        <color rgb="FFFF0000"/>
        <rFont val="Times New Roman"/>
        <family val="1"/>
      </rPr>
      <t>4 - Bóng đèn huỳnh quang thải và các loại thuỷ tinh hoạt tính 16 01 06</t>
    </r>
    <r>
      <rPr>
        <sz val="14"/>
        <rFont val="Times New Roman"/>
        <family val="1"/>
      </rPr>
      <t xml:space="preserve">
</t>
    </r>
    <r>
      <rPr>
        <sz val="14"/>
        <color rgb="FFFF0000"/>
        <rFont val="Times New Roman"/>
        <family val="1"/>
      </rPr>
      <t>5 - Pin, ắc quy chì thải 19 06 01</t>
    </r>
    <r>
      <rPr>
        <sz val="14"/>
        <rFont val="Times New Roman"/>
        <family val="1"/>
      </rPr>
      <t xml:space="preserve">
6 - Axit clohydric thải 02 01 02
7 - A xít nitric, axit nitro thải 02 01 05 
8 - Chất thải có các kim loại nặng khác 02 04 03
9 - Hộp mực in thải có TPNH 08 02 04
10 - Hóa chất thải bao gồm hoặc có TPNHH 13 02 02
11 - Dầu động cơ, hộp số và bôi trơn thải 17 02 03
12 - Bao bì mền 18 01 01
13 - Bao bì cứng thải bằng kim loại bao gồm cả bình chứa áp suất rỗng hoàn toàn 18 01 02 (rắn)
14 - Chất hấp thụ, vật liệu lọc (bao gồm cả vật liệu lọc dầu chưa nêu tại các mã khác) , giẻ lau , vải bảo vệ thải bị nhiễm các thành phần nguy hại 18 02 01 (rắn)
15 - Hóa chất hổn hợp hóa chất phòng thí nghiệm có các TPNH 19 05 02
16 - Nước tahi3 có chứa thành phần nguy hại 19 10 01</t>
    </r>
  </si>
  <si>
    <r>
      <t>01 lần/6tháng
2</t>
    </r>
    <r>
      <rPr>
        <b/>
        <sz val="14"/>
        <rFont val="Times New Roman"/>
        <family val="1"/>
      </rPr>
      <t>,9</t>
    </r>
  </si>
  <si>
    <r>
      <t xml:space="preserve">số 43, KCN Vsip 1 , TA, BD
</t>
    </r>
    <r>
      <rPr>
        <b/>
        <sz val="14"/>
        <rFont val="Times New Roman"/>
        <family val="1"/>
      </rPr>
      <t>Địa chỉ thu gom: Số 22, đường số 29, KCN Vsip IIA, TX Tân Uyên, Tỉnh Bình Dương</t>
    </r>
  </si>
  <si>
    <r>
      <t xml:space="preserve">31A, đường Dân Chủ, KCN Việt Nam – Singapore II, phường Hòa Phú, thành phố Thủ Dầu Một, tỉnh Bình Dương
</t>
    </r>
    <r>
      <rPr>
        <b/>
        <sz val="14"/>
        <rFont val="Times New Roman"/>
        <family val="1"/>
      </rPr>
      <t>Địa thu gom: Số 19C, đường số 27, VSIP IIA, xã Vĩnh Tân, TX. Tân Uyên, tỉnh Bình Dương)</t>
    </r>
  </si>
  <si>
    <r>
      <t xml:space="preserve">01 lần/2tháng
</t>
    </r>
    <r>
      <rPr>
        <b/>
        <sz val="14"/>
        <rFont val="Times New Roman"/>
        <family val="1"/>
      </rPr>
      <t>2,4,6,8,10,12</t>
    </r>
    <r>
      <rPr>
        <sz val="14"/>
        <rFont val="Times New Roman"/>
        <family val="1"/>
      </rPr>
      <t xml:space="preserve">
</t>
    </r>
  </si>
  <si>
    <r>
      <t xml:space="preserve">1 - Chất thải công nghiệp: </t>
    </r>
    <r>
      <rPr>
        <b/>
        <sz val="14"/>
        <rFont val="Times New Roman"/>
        <family val="1"/>
      </rPr>
      <t>Nilon, mút xốp, thạch cao xây dựng, bao bì carton
2 - Tro lò đốt( bsung)
3 - Gỗ vụn dính keo, sơn</t>
    </r>
  </si>
  <si>
    <t>7, ngưng 20/11/2023</t>
  </si>
  <si>
    <t>Thửa đất số 1437, TBĐ số 9, Khu Phố Khánh Hội, Phường Tân Phước Khánh, Thành Phố Tân Uyên, Tỉnh Bình Dương, Việt Nam</t>
  </si>
  <si>
    <t>Mút xốp, băng keo thải không dính thành phần nguy hại, dây đai, bao bì, giấy vụn, gỗ vụn, nilon, vải vụn.</t>
  </si>
  <si>
    <t>10/11/2023</t>
  </si>
  <si>
    <t>Công ty TNHH Na Ru Vi Na</t>
  </si>
  <si>
    <t>TĐS 16, TBĐS 35, đường ĐH 402, phường Tân Phước Khánh, Tp Tân Uyên, tỉnh BÌnh DƯơngm Việt Nam</t>
  </si>
  <si>
    <t>2 ép lớn</t>
  </si>
  <si>
    <t>Xe ép to</t>
  </si>
  <si>
    <t>16/11/2023</t>
  </si>
  <si>
    <t>1 - Giẻ lau dính dầu nhớt, mực in, dung môi 18 02 01(rắn)
2 - Bùn thải và bả lọc có các TPNH. 07 01 05(bùn)
3 - Thùng nhựa dính thành phần nguy hại    18 01 03(rắn)
4 - Thùng kim loại đựng dầu nhớt, dung môi, mực in 18 01 02(rắn)
5 - Dung môi thải 17 08 03(lỏng)
6 - Bóng đèn huỳnh quang thải 16 01 06(rắn)
7 - Mực in thải 08 02 01(lỏng)
8 - Hộp mực máy in, máy photo 08 02 04(rắn)
9 - Pin, ắc quy chì thải 19 06 01(rắn)
10 - Dầu bôi trơn thải 17 02 04(lỏng)
11 - Axit tẩy thải 07 01 01(lỏng)
12 - Bông cách nhiệt 11 06 01(rắn)
13 - Than hoạt tính thải 12 01 04 (rắn)
14 -  Hóa chất và hổn hợp hóa chất thải 19 05 02 (rắn)</t>
  </si>
  <si>
    <t>Công ty TNHH Xây Dựng Việt Long</t>
  </si>
  <si>
    <t>7 Phan Tôn, phường Đa Kao, Quận 1,Tp HCM, VN
Đường D3 N4, KCN Nam Tân Uyên, phường Khánh Bình, Tp Tân Uyên, tỉnh Bình Dương</t>
  </si>
  <si>
    <t>1- Bóng đèng huỳnh quảng thải 16 01 06 (rắn)
2- Dầu nhớt thải 17 02 04 (lỏng)
3- Thùng đựng dầu nhớt, mực in thải bằng nhựa 18 01 03 (rắn)
4- Thùng kim loại dính TPNH 18 01 02 (rắn)
5- Giẻ lau, găng tay, vải dính TPNH 18 02 01 (rắn)
6- Pin, ắc quy chì thải 19 06 01 (rắn)
7- Hộp mực in thải 08 02 04 (rắn)
8- Dầu thuỷ lực thải 17 01 06 (lỏng)
9- Dầu giải nhiệt thải 17 03 05 (lỏng)
10- Bùn thải có chứa các TPNH từ quá trình xử lý nước thải 12 06 05 (bùn)</t>
  </si>
  <si>
    <t>22/11/2023</t>
  </si>
  <si>
    <t>20/11/2028</t>
  </si>
  <si>
    <t xml:space="preserve">OK HĐ
</t>
  </si>
  <si>
    <t>Kp 4, Vĩnh Tân, Tân Uyên, Bình Dương</t>
  </si>
  <si>
    <t>Công ty Cổ Phần Ba Huân</t>
  </si>
  <si>
    <t>Bùn từ hệ thóng xử lý nước thải</t>
  </si>
  <si>
    <t>chạy 2 tuần tới7/12 ngưng</t>
  </si>
  <si>
    <r>
      <t xml:space="preserve">Số 40 Vsip II đường số 6, KCN - Singapore II, Khu Liên Hợp CN - DV - Đô Thị Bình Dương, P Hòa Phú, TP.TDM, Bình Dương, VN
</t>
    </r>
    <r>
      <rPr>
        <b/>
        <sz val="14"/>
        <rFont val="Times New Roman"/>
        <family val="1"/>
      </rPr>
      <t xml:space="preserve">Địa chỉ thu gom: số 10-16, Vsip II-A, đường số 27, KCN Việt nam-Singapore II-A, TX tân Uyên, Tỉnh Bình Dương, VN
</t>
    </r>
  </si>
  <si>
    <t>CÔNG TY TNHH ANLI (VIETNAM) MATERIAL TECHNOLOGY</t>
  </si>
  <si>
    <t>Số 22 VSIP II-A đường số 32, Khu công nghiệp Việt Nam – Singapore II-A, Thị trấn Tân Bình, Huyện Bắc Tân Uyên, Tỉnh Bình Dương, Việt Nam</t>
  </si>
  <si>
    <t>01-Cặn sơn, sơn và véc ni thải có dung môi hữu cơ hoặc các thành phần nguy hại khác (Rắn/lỏng) 08 01 01 
02-Bùn thải có thành phần nguy hại (Bùn) 12 06 05
03-Bóng đèn huỳnh quang (rắn) 16 01 06 
04-Chất thải lây nhiễm (rắn) 13 01 01
05-Hộp mực in/ (Rắn) 08 02 04
06-Dầu nhớt thải (Lỏng) 17 02 04
07- Pin, ắc quy thải(Rắn) 19 06 01
08-Các chất hấp thụ (vải, cát thấm), vật liệu lọc, giẻ lau, vải bảo vệ thải bị nhiễm các thành phần nguy hại/ (Rắn) 18 02 01
09 -Bao bì nhựa chứa các thành phần nguy hại/ (Rắn) 18 01 03
10-Bao bì kim loại có các thành phần kim loại/ (Rắn) 18 01 02
11-Bao bì mềm thải (Rắn) 18 01 01</t>
  </si>
  <si>
    <t>06/12/2024</t>
  </si>
  <si>
    <t>01-Rác công nghiệp (nilon, dây đai, mút xốp, gỗ vụn, giấy vụn).
02-Xỉ tro từ lò đốt 
03-Da thải, mép da thải, bột mài da thải
04-Dầu mỡ thải từ nhà ăn</t>
  </si>
  <si>
    <t>06/12/2023</t>
  </si>
  <si>
    <t>1 - Hộp mực in thải có chứa các TPNH 08 02 04
2 -  Chất kết dính và chất bịt kín có chứa dung môi hữu cơ hoặc các TPNH 08 03 01
3 - Chất thải lây nhiễm 13 01 01
4 - Bóng đèn huỳnh quang thải  và các loại thuỷ tinh hoạt tính 16 01 06
5 - Dầu thủy lực tổng hộp thải 17 01 06
6 - Dầu động cơ, hộp số và bôi trơn tổng hợp thải 17 02 04
7 - Các loại dầu động cơ, hộp số và bôi trơn thải khác 17 02 04
8 - Bao bì mền thải 18 01 01
9 - Bao bì cứng thải bằng kim loại bao gồm cả bình chứa áp suất rỗng hoàn toàn 18 01 02 (rắn)
10 - Bao bì cứng bằng nhựa 18 01 03
11 - Chất hấp thụ, vật liệu lọc (bao gồm cả vật liệu lọc dầu chưa nêu tại các mã khác) , giẻ lau , vải bảo vệ thải bị nhiễm các thành phần nguy hại 18 02 01 (rắn)
12 - Pin, ắc quy chì thải 19 06 01</t>
  </si>
  <si>
    <t>20/12/2025</t>
  </si>
  <si>
    <t>Công ty TNHH Cà Phê Trà Phương Vy</t>
  </si>
  <si>
    <t>Công ty TNHH Scon</t>
  </si>
  <si>
    <t>1- Bóng đèn huỳnh quang và các loại thủy tinh hoạt tính thải 16 01 06 (rắn)
2- Cặn sơn thải 08 01 02 (rắn)
3- Chất hấp thụ, vật liệu lọc (bao gồm cả vật liệu lọc dầu chưa nêu tại các mã khác) , giẻ lau , vải bảo vệ thải bị nhiễm các thành phần nguy hại 18 02 01 (rắn)</t>
  </si>
  <si>
    <t>Công ty TNHH Sản xuất - Thương mại Đông Hoà</t>
  </si>
  <si>
    <t>TĐS 152, TBĐS 59,Tổ 5, khu 7, Thị trấn Uyên Hưng, Tân Uyên, Bình Dương</t>
  </si>
  <si>
    <t>Mút xôp, dây dai nhựa, bao bì, giáy vụn, nilon</t>
  </si>
  <si>
    <t>1- Bóng đèn huynhg quang và các loại thuỷ tinh hảo tính 16 01 06 (rắn)
2- Pin, ắc uy chì thỉa 19 06 01 (rắn)
3- Giẻ lau, bao tay dinhs dầu nhớt 18 02 01 (rắn)
4- Bao bì mềm dính TPNH 18 01 01 (rắn)</t>
  </si>
  <si>
    <t>1 - Bóng đèn huỳnh quang và các loại thủy tinh hoạt tính thải 16 01 06 (rắn)
2 - Hộp mực in thải có các thành phần nguy hại 08 02 04 ( Rắ n)
3 - dầu động cơ, hộp số và bôi trơn tổng hợp thải 17 02 04 ( Lỏng)
4 - Pin, ắc quy chì thải 19 06 01 ( Rắ n)
5 - Bao bì cứng thải bằng kim loại bao gồm cả bình chứa áp suất rỗng hoàn toàn 18 01 02 (rắn)
6 - Bao bì nhựa dính thành phần nguy hại 18 01 03  ( Rắ n)
7 - Chất hấp thụ, vật liệu lọc (bao gồm cả vật liệu lọc dầu chưa nêu tại các mã khác) , giẻ lau , vải bảo vệ thải bị nhiễm các thành phần nguy hại 18 02 01 (rắn)
8 - Bao bì mền thải 18 01 01 ( Rắ n)
9 - Chất kết dính và chất bịt kín thải có dung môi hữu cơ hoặc các TPNH khác 08 03 01 (rắn/lỏng)
10 - Than hoạt tính thải 19 12 02 ( Rắ n)
11 - Chất thải y tế 13 01 01 ( Rắ n)
12 - dầu thủy lực thải 17 01 06 ( Rắ n)</t>
  </si>
  <si>
    <t>20/01/2026</t>
  </si>
  <si>
    <t>Công ty cổ phần T.L.K</t>
  </si>
  <si>
    <t>Công trình xây dựng của Công ty Cô rphanaf t.L.K (số 23b, đường  29, KCN Vsip2A, phường Vĩnh Tân, TU, BD</t>
  </si>
  <si>
    <t>Xà bần, ván dỗ vuinj, bao xi măng, giáy vụn, nilon, mút xopps, dây dai, carton, nhựa thải</t>
  </si>
  <si>
    <t>07/12/2023</t>
  </si>
  <si>
    <t>Ngưng 06.12</t>
  </si>
  <si>
    <t>4, ngưng 8/12</t>
  </si>
  <si>
    <t>1 - Các loại dịch cái thải từ quá trình chiết tách 03 05 03
2 - Các loại chất hấp thụ đã qua sử dụng 03 05 07
3 - Bùn thải có các thành phần nguy hại 03 05 08
4 - Chất thải rắn có các thành phần nguy hại 03 05 09
5 - Hộp mực in thải có các thành phần nguy hại 08 02 04
6 - Bóng đèn huỳnh quang thải 16 01 06
7 - Các loại dầu động cơ, hộp số và bôn trơn thải 17 02 04
8 - Bao bì mền thải 18 01 01
9 - Bao bì cứng bằng kim loại 18 01 02
10 - Chất hấp thụ, vật liệu lộc, giẻ lau 18 02 01
11 - Pin, ắc quy chì thải 19 06 01
12 - Dược phẩm qua hạn sử dụng 03 05 09
13 - Bao bì cứng bắng nhựa 18 01 03
14 - Bao bì cứng bắng vật liệu khác 18 01 04
15- Nguyên phụ liệu sản xuất thúo, thành phẩm và bán thành phẩm thuốc 03 05 09 (rắn/lỏng)</t>
  </si>
  <si>
    <t>Công Ty TNHH MTV Sản xuất Nội Thất Tấn Hoàng</t>
  </si>
  <si>
    <t>12/12/2023</t>
  </si>
  <si>
    <t>30/11/2024</t>
  </si>
  <si>
    <t>1- Bóng đèn huỳnh quang và các loại thủy tinh hoạt tính thải 16 01 06 (rắn)
2-Bao bì cứng thải bằng kim loại bao gồm cả bình chứa áp suất rỗng hoàn toàn 18 01 02 (rắn)
3-Chất hấp thụ, vật liệu lọc (bao gồm cả vật liệu lọc dầu chưa nêu tại các mã khác) , giẻ lau , vải bảo vệ thải bị nhiễm các thành phần nguy hại 18 02 01 (rắn)
4-Pin, ắc quy chì thải 19 06 01 (rắn)
5-Các loại dầu động cơ, hộp số và bôi trơn thải khác 17 02 04 (lỏng)
6-Chất kết dính và chất bịt kín thải có dung môi hữu cơ hoặc các TPNH khác 08 03 01 (rắn/lỏng)
7- Hộp mực in thải có các TPNH 08 02 04 (rắn)
8- Bao bì mềm 18 01 01 (rắn)
9- Than hoạt tính thải 19 12 02 (rắn)</t>
  </si>
  <si>
    <t>1- Rác công nghiệp: Nilon, dây đai, mút xốp, bao bì giấy, carton, palet hư, gỗ vụn, kim loại, nhựa , vải thừa
2- Xà Bần</t>
  </si>
  <si>
    <t>14/12/2023</t>
  </si>
  <si>
    <t>20/12/2026</t>
  </si>
  <si>
    <t>Công ty TNHH Sản xuất Thương Mại Xuất nhập khẩu Trường Phùng</t>
  </si>
  <si>
    <t>TĐS 76, TBĐS 12, Kp Khánh Hội, Phường Tân Phước Khánh, Tp Tân Uyên, Bình Dương</t>
  </si>
  <si>
    <t>Mút xốp, dây dai, bao bì, giấy vụn, gỗ vụn, bột cao su, miếng xốp cao su, xốp lỗ</t>
  </si>
  <si>
    <t>1 - Bóng đèn huỳnh quang thải và các loại thủy tinh hoạt tính 16 01 06 (rắn)
2 - Các loại dầu động cơ, hộp số và bôi trơn thải 17 02 04 (rắn)
3 - Bao bì mền thải 18 01 01 (rắn)
4 - Bao bì cứng bằng kim loại bao gồm cả bình ấp suát rỗng hoàn toàn 18 01 02 (rắn)
5 - Bao bì cứng bằng nhựa 18 01 03 (rắn)
6 - Pin, ắc quy chì thải 19 06 01 (rắn)
7 - Bùn thải có các thành phần nguy hại 12 06 05 (bùn)</t>
  </si>
  <si>
    <t>28 VSIP-A đường số 25 khu công nghiệp Việt  Nam -Singapore  II-A, Phường Vĩnh Tân, Thị Xã Tân Uyên, Tỉnh Bình Dương,Việt Nam</t>
  </si>
  <si>
    <t>CÔNG TY TNHH DSM NUTRITIONAL PRODUCTS VIỆT NAM</t>
  </si>
  <si>
    <t>SỐ 07/ĐX5 - TH, TỔ 9, KHU PHỐ TÂN HÓA, PHƯỜNG TÂN VĨNH HIỆP, THỊ XÃ TÂN UYÊN, BÌNH DƯƠNG</t>
  </si>
  <si>
    <t>4, ngưng 19/12</t>
  </si>
  <si>
    <t>01 lần/2 tháng
2,4,6,8,10,12</t>
  </si>
  <si>
    <t>Công ty Cổ phần Cảng Thạnh Phước</t>
  </si>
  <si>
    <t>Công ty TNHH Green Eva</t>
  </si>
  <si>
    <t>Sô 45/3, Tổ 3, đường 12, Kp Khánh Hội, phường Tân Phước Khánh, Tp Tân Uyên, Bình Dương</t>
  </si>
  <si>
    <t>1- Bóng đèn huỳnh quang và các loại thủy tinh hoạt tính thải 16 01 06 (rắn)
2- Chất hấp thụ, vật liệu lọc (bao gồm cả vật liệu lọc dầu chưa nêu tại các mã khác) , giẻ lau , vải bảo vệ thải bị nhiễm các thành phần nguy hại 18 02 01 (rắn)</t>
  </si>
  <si>
    <t>04/01/2024</t>
  </si>
  <si>
    <t>1 lần / 3 tháng 1,4,7,10</t>
  </si>
  <si>
    <t>Thửa số 266, TBĐ số 43, KP Khánh Vân, Khánh Bình, Tân Uyên, BD</t>
  </si>
  <si>
    <r>
      <t xml:space="preserve">01 lần/6tháng
</t>
    </r>
    <r>
      <rPr>
        <b/>
        <sz val="14"/>
        <rFont val="Times New Roman"/>
        <family val="1"/>
      </rPr>
      <t>1,7</t>
    </r>
  </si>
  <si>
    <t>Công ty TNHH Vĩnh Hiệp</t>
  </si>
  <si>
    <t>Công ty TNHH Tân Thời 1</t>
  </si>
  <si>
    <t xml:space="preserve">Công ty CP Khoáng Sản Và Xây Dựng Bình Dương 
74.000.607.T                           </t>
  </si>
  <si>
    <t>16/01/2024</t>
  </si>
  <si>
    <t>Công ty Cổ Phần Ba Huân
74,000,380,T</t>
  </si>
  <si>
    <t>1 - Hộp mực in có chứa thành phần nguy hại 08 02 04
2 - Nhựa trao đôi ion đã bảo hòa hay đã qua sử dụng 12 06 01
3 - Bóng đèn huỳnh quang và các loại thủy tinh hoạt tính thải 16 01 06 (rắn)
4 - Các loại dầu động cơ, hộp số 17 02 04
5 - Bao bì mền thải 18 01 01
6 - Bao bì cứng bằng nhựa  18 01 03
7 - Chất hấp thụ, vật liệu lọc (bao gồm cả vật liệu lọc dầu chưa nêu tại các mã khác) , giẻ lau , vải bảo vệ thải bị nhiễm các thành phần nguy hại 18 02 01 (rắn)
8 - Hóa chất và hỗn hộp hóa chất phòng thí nghiệm có các TPNH 19 05 02
9 - Pin, ắc quy chì thải 19 06 01</t>
  </si>
  <si>
    <t>01 lần/3tháng
1,5,8,11</t>
  </si>
  <si>
    <t>4,20/12/23</t>
  </si>
  <si>
    <t>4, ngưng 4.1</t>
  </si>
  <si>
    <t>Công ty TNHH Asflow Vina
14/GPMT-BQL</t>
  </si>
  <si>
    <t>1 - Dầu thải 17 02 04 (lỏng)
2 - Bóng đèn huỳnh quang thải 16 01 06(rắn)
3 - Bình ắc quy thải 19 06 01(rắn)
4 - Giẻ lau bị nhiễm thành phần nguy hại 18 02 01(rắn)</t>
  </si>
  <si>
    <t>4,18.01.2024</t>
  </si>
  <si>
    <t>18/01/2024</t>
  </si>
  <si>
    <t>21/01/2026</t>
  </si>
  <si>
    <t xml:space="preserve">Công ty TNHH You Jia Việt Nam Furniture </t>
  </si>
  <si>
    <t>1 - Bóng đèn huỳnh quang thải và các loại chất thải có chừa thủy ngân 16 01 06(rắn)
2 - Giẻ lau dính dầu mỡ thải 18 02 01(rắn)
3 - Bao bì cứng bằng nhựa dính dầu nhớt, hóa chất thải 18 01 03(rắn)
4 - Dầu nhớt thải 17 02 03(lỏng)
5 - Hộp mực in thải 08 02 04(rắn)
6 - Pin, ắc quy chì thải 19 06 01(rắn)
7 - Kim, bông bằng, gạc y tế co1` chứa các tác nhân lây nhiễm 13 01 01(rắn)
8 - Hóa chất thải từ phòng thí nghiệm 19 05 02(rắn)
9 - Hỗn hợp dầu mỡ động, thực vật thải từ quá trình phân tách dầu/nước 12 06 04(rắn)</t>
  </si>
  <si>
    <t>26/01/2024</t>
  </si>
  <si>
    <t>31/12/2026</t>
  </si>
  <si>
    <t>29/01/2024</t>
  </si>
  <si>
    <t>1 -Các loại dầu động cơ, hộp số và bôi trơn thải khác 17 02 04
2 - Bóng đèn huỳnh quang thải 16 01 06
3 - Bao bì cứng thải bằng kim loại bao gồm cả bình chứa áp suất rỗng hoàn toàn 18 01 02 (rắn)
4 - Bao bì cứng thải bằng nhựa  18 01 03
5 - Chất kế dính, chất bịt kín có dung môi hữu cơ hoăc các thành phần nguy hại  08 03 01
6 - Cặn sơn, Sơn thải, sơn, vecni thải có dung môi hữu cơ hoăc các thành phần nguy hại 08 01 01
7 - Giẻ lau dính dầu nhớt, keo, sơn, dung môi 18 02 01
8 - Hộp mực in thải 08 02 04
9 - Pin, ắc quy chì thải 19 06 01
10 - Chất thải lây nhiễm 13 01 01</t>
  </si>
  <si>
    <t>1 -Các loại dầu động cơ, hộp số và bôi trơn thải khác 17 02 04
2 - Bóng đèn huỳnh quang thải và các loại thuỷ tinh hoạt tính 16 01 06
3 - Bao bì cứng thải bằng kim loại bao gồm cả bình chứa áp suất rỗng hoàn toàn 18 01 02 (rắn)
4 - Bao bì cứng thải bằng nhựa  18 01 03
5 - Chất kế dính, chất bịt kín có dung môi hữu cơ hoăc các thành phần nguy hại  08 03 01
6 - Cặn sơn, Sơn thải, sơn, vecni thải có dung môi hữu cơ hoăc các thành phần nguy hại 08 01 01
7 - Chất hấp thụ, vật liệu lọc (bao gồm cả vật liệu lọc dầu chưa nêu tại các mã khác) , giẻ lau , vải bảo vệ thải bị nhiễm các thành phần nguy hại 18 02 01 (rắn)
8 - Hộp mực in thải 08 02 04
9 - Pin, ắc quy chì thải 19 06 01
10 - Chất thải lây nhiễm 13 01 01
11-Vật liệu cách nhiệt bằng amiang 11 06 01
12- Bùn có thành phần nguy hại từ hệ thống xử lý nước thải công nghiệp khác 12 06 05
13- Các loại dung môi và hôn hợp dung môi 17 08 03
14- Bao bì mền 18 01 01</t>
  </si>
  <si>
    <r>
      <t>Chi nhánh Công ty cổ phần Tekcom - Nhà máy 2 (</t>
    </r>
    <r>
      <rPr>
        <b/>
        <sz val="14"/>
        <rFont val="Times New Roman"/>
        <family val="1"/>
      </rPr>
      <t>Lô A1, A2,A3,A4,A5, đường N5, KCN Nam Tân Uyên mở rộng, Phường Hội Nghĩa, Thị Xã Tân Uyên, Tỉnh Bình Dương)</t>
    </r>
  </si>
  <si>
    <r>
      <t xml:space="preserve">1 - Chất thải công nghiệp: </t>
    </r>
    <r>
      <rPr>
        <b/>
        <sz val="14"/>
        <rFont val="Times New Roman"/>
        <family val="1"/>
      </rPr>
      <t>Nilon, mút xốp, thạch cao xây dựng, bao bì carton 
2 - Tro lò đốt( bsung) 
3 - Bùn lỏng từ hệ thống xử lý nước thải sản xuất gỗ không chứa TPNH ( Rắn/ lỏng/ bùn)</t>
    </r>
  </si>
  <si>
    <t>1 -Các loại dầu động cơ, hộp số và bôi trơn thải khác 17 02 04
2 - Bóng đèn huỳnh quang thải và các loại thuỷ tinh hoạt tính 16 01 06
3 - Bao bì cứng thải bằng kim loại bao gồm cả bình chứa áp suất rỗng hoàn toàn 18 01 02 (rắn)
4 - Bao bì cứng thải bằng nhựa  18 01 03
5 - Chất kế dính, chất bịt kín có dung môi hữu cơ hoăc các thành phần nguy hại  08 03 01
6 - Cặn sơn, Sơn thải, sơn, vecni thải có dung môi hữu cơ hoăc các thành phần nguy hại 08 01 01
7 - Chất hấp thụ, vật liệu lọc (bao gồm cả vật liệu lọc dầu chưa nêu tại các mã khác) , giẻ lau , vải bảo vệ thải bị nhiễm các thành phần nguy hại 18 02 01 (rắn)
8 - Hộp mực in thải 08 02 04
9 - Pin, ắc quy chì thải 19 06 01
10 - Chất thải lây nhiễm 13 01 01
11-Vật liệu cách nhiệt bằng amiang 11 06 01
12- Bùn có thành phần nguy hại từ hệ thống xử lý nước thải công nghiệp khác 12 06 05</t>
  </si>
  <si>
    <t>30/01/2024</t>
  </si>
  <si>
    <t>1- Chất hấp thụ, vật liệu lọc (bao gồm cả vật liệu lọc dầu chưa nêu tại các mã khác) , giẻ lau , vải bảo vệ thải bị nhiễm các thành phần nguy hại 18 02 01 (rắn)
2- hộp mực in 08 02 04
3- Pin, ắc quy 19 06 01
4- Bóng đèn huỳnh quang thải 16 01 06
5- Dầu động cơ, họp số và bôi trơn thải 17 02 04
6- Bao bì cứng bằng nhựa 18 01 03
7- Bao bì cứng thải bằng kim loại bao gồm cả bình chứa áp suất rỗng hoàn toàn 18 01 02 (rắn)
8- Dung môi thải 17 08 03</t>
  </si>
  <si>
    <t>1- Giẻ lau ;  18 01 01(Rắn)
2- Dầu nhớt thải 17 02 04(Lỏng)
3- Dung môi thải 17 08 03(Lỏng)
4- Keo thải 08 03 01(Lỏng)
5- Cặn sơn 08 01 01(Lỏng)
6- Hộp mực in thải 08 02 04(Rắn)
7- Bóng đèn 16 01 06(Rắn)
8- Bùn từ hệ thống xử lý nước thải 12 06 05 ( bùn)
9- Ắc qui ,pin  19 06 01(Rắn)
10- Thùng đựng xăng, dầu nhớt bôi trơn 18 01 02(Rắn)
11 - Giấy nhám thải 18 02 01(Rắn)
12 - Lưới amiang thải 11 06 01(Rắn)</t>
  </si>
  <si>
    <t>Chi nhánh Tân Uyên - Công ty TNHH thương mại sản xuất yến sào Viẹt Nam</t>
  </si>
  <si>
    <t>TĐS 604, TBĐS 8, tổ 1, Phước hải, Thái Hòa, huyện Tân Uyên, Bình Dương</t>
  </si>
  <si>
    <t>Nilon, dây dai, mút xốp, giáy vụn, chỉ vụn, bao bì carton, xỉ than</t>
  </si>
  <si>
    <t>Chất thải hầm cẩu, bùn thải bể tự hoại</t>
  </si>
  <si>
    <t>Lô 1A1, đường CN8 và CN15, KCN Tân Bình, XÃ Hưng Hoà,huyên Bàu Bàng, tỉnh Bình Dương</t>
  </si>
  <si>
    <t>1 lần / 3 tháng 3,6,9,12</t>
  </si>
  <si>
    <t>1-Bóng đèn huỳnh quang và các loại thủy tinh hoạt tính thải 16 01 06 (rắn)
2-Bao bì cứng thải bằng kim loại bao gồm cả bình chứa áp suất rỗng hoàn toàn 18 01 02 (rắn)3-
3-Bao bì cứng thải bằng nhựa 18 01 03 (rắn)
74-Chất hấp thụ, vật liệu lọc (bao gồm cả vật liệu lọc dầu chưa nêu tại các mã khác) , giẻ lau , vải bảo vệ thải bị nhiễm các thành phần nguy hại 18 02 01 (rắn)
5-Pin, ắc quy chì thải 19 06 01 (rắn)
6-Các loại dầu động cơ, hộp số và bôi trơn thải khác 17 02 04 (lỏng)
7-Hộp mực in thải có chứac các TPNH 08 02 04 (rắn)
8- Bộ lọc dầu đã qua sử dụng 15 01 05 (rắn)</t>
  </si>
  <si>
    <t xml:space="preserve">1 Hộp mực in thải có chứa các thành phần nguy hại 08 02 04Rắn
2 Vật liệu cách nhiệt có amiăng thải 11 06 01Rắn
3 Các loại vật liệu cách nhiệt thải khác có hay bị nhiễm các thành phần nguy hại 11 06 02 Rắn
4 Bóng đèn huỳnh quang và các loại thủy tinh hoạt tính thải 16 01 06 Rắn
5 Các loại dầu động cơ , hộp số và bôi trơn thải khác 17 02 04 Lỏng
6 Bao bì mềm thải 18 01 01 Rắn
7 Bao bì cứng thải bằng kim loại bao gồm cả bình chứa áp suất bảo đảm rỗng hoàn toàn 18 01 02 Rắn
8 Bao bì cứng bằng các vật liệu khác 18 01 04 Rắn
9 Chất hấp thụ, vật liệu lọc ( bao gồm cả vật liệu lọc dầu chưa nêu tại các mã khác) giẻ lau, vải bảo vệ thải bị nhiễm các thành phần nguy hại 18 02 01 Rắn
10 Pin, ắc quy chì thải 19 06 01 Rắn
11 Hóa chất vô cơ thải bao gồm hoặc có các thành phần nguy hại 19 05 03 Rắn/ Lỏng
12 Hóa chất hữu cơ thải bao gồm hoặc có các thành phần nguy hại 19 05 04 Rắn
13 Các loại dịch cái thải từ quá trình chiết, tách (mother liquor), dung dịch tẩy rửa và dung môi hữu cơ thải khác 03 01 03 Rắn/ Lỏng
14 Mực in (loại có các thành phần nguy hại trong nguyên liệu sản xuất) thải 08 02 01 Rắn/ Lỏng
15 Thiết bị thải có các bộ phận, linh kiện điện tử 19 02 05 Rắn
16 Chất kết dính và chất bịt kín	08 03 01 Rắn/Lỏng
17- Dược phẩm quá hạn sử dụng 03 05 09 (rắn/lỏng)
18- Chất thải lây nhiễm (bao gồm cả chất tahri sắc nhọn) 13 01 01 (rắn/lỏng)
</t>
  </si>
  <si>
    <t>31/1/2024</t>
  </si>
  <si>
    <t>Công ty Cổ Phần Plastic Đại Phú
238/GPMT-BTNMT</t>
  </si>
  <si>
    <t>Công ty Cổ Phần Xây Dựng Bình Dương
74.001.324.T</t>
  </si>
  <si>
    <t>20/02/2026</t>
  </si>
  <si>
    <t>Theo yêu cẩu</t>
  </si>
  <si>
    <t>Công ty Cổ Phần Tập Đoàn Kỹ Nghệ Gỗ Trường Thành</t>
  </si>
  <si>
    <t xml:space="preserve">Công ty Cổ Phần Tập Đoàn Kỹ Nghệ Gỗ Trường Thành
74.000.274.T
</t>
  </si>
  <si>
    <t>1 - Nylon, dây đai, mút xốp, gỗ vụn, giấy vụn, xà bần
2 - Tro thải từ quá trình đốt củi</t>
  </si>
  <si>
    <t>Công ty Cổ Phần Tekcom
74.0003,541.T</t>
  </si>
  <si>
    <t>Công ty Cổ Phần Tekcom
74.003.541.T</t>
  </si>
  <si>
    <t>Công ty TNHH Sản Xuất Thiết Kế Sáng Tạo</t>
  </si>
  <si>
    <t>CÔNG TY TNHH MTV KIM TỔ</t>
  </si>
  <si>
    <t>1 Bóng đèn huỳnh quang và các loại thuỷ tinh hoạt tính thải (Rắn)  16 01 06</t>
  </si>
  <si>
    <t>ký mới</t>
  </si>
  <si>
    <t>1 lần / 6 tháng
3/2024 và 9/2024</t>
  </si>
  <si>
    <t>30/12/2025</t>
  </si>
  <si>
    <t>23/02/2024</t>
  </si>
  <si>
    <t>1- Bao tay ngón, giáy keo, mút xốp, tấm lọc, máy lạnh,, chất hất thụ, vật liệu lọc, giẻ lau, vải bảo vệ thải khác không dính TPNH (Vật liệu lọc từ thiết AHU)
2- Bùn từ hệ thống xử lý nước thải và nạo vét cống</t>
  </si>
  <si>
    <t>1 - Bóng đèn huỳnh quang  16 01 06 (rắn)
2 - Giẻ lau dính dầu 18 02 01 (rắn)
3 - Thùng nhựa đựng dầu nhớt 18 01 03 (rắn)
4 - Hộp mực in thải; 08 02 04(rắn)
5 - Pin ắc quy chì thải. 19 06 01(rắn)
6 - Bùn thải Từ HTXLNT 12 06 05(bùn)
7- Chất thải y tế 13 01 01 (rắn)</t>
  </si>
  <si>
    <t xml:space="preserve">Ký  lại
</t>
  </si>
  <si>
    <t>1 - Bóng đèn huỳnh quang  16 01 06 ( Rắn) 
2 - Hộp mực in 08 02 04 ( Rắn) 
3 - Pin, ắc quy 19 06 01 ( Rắn) 
4 - Keo thải 08 03 01 ( lỏng) 
5 - Giẻ lau, bao tay dính dầu nhớt 18 02 01 ( Rắn) 
6 - Dầu nhớt thải 17 02 04 ( Lỏng)
7 -Cặn sơn 08 01 01 ( Rắn/lỏng) 
8 - Dung môi 08 01 05 ( Rắn) 
9 - Thùng đựng dầu nhớt bằng kim loại 18 01 02. ( Rắn) 
10 - Mùn cưa, gỗ vụn 09 01 01 ( Rắn) 
11 -Than hoạt tính 02 11 02 ( Rắn) 
12 - Bao bì cứng bằng nhựa 18 01 03 ( Rắn) 
13- Chát thải lây nhiễm (bao gồm cả chất thải sắt nhọn) 13 01 01 (rắn)</t>
  </si>
  <si>
    <t>28.02.2024, PLHD Trạng thái chất thải</t>
  </si>
  <si>
    <t>31/03/2026</t>
  </si>
  <si>
    <t>4, 27.02.2024</t>
  </si>
  <si>
    <t>20/03/2026</t>
  </si>
  <si>
    <t xml:space="preserve"> Công ty TNHH KỸ Nghệ Gỗ Hoa Nét</t>
  </si>
  <si>
    <t>Công ty TNHH Viễn Lâm
74,003,413,T</t>
  </si>
  <si>
    <t>20/03/2025</t>
  </si>
  <si>
    <t>Công ty TNHH Bao Bì Hùng Tín</t>
  </si>
  <si>
    <t>1 - Hộp mực in thải 08 02 04
2 - Bóng đèn huỳnh quang thải 16 01 06
3 - Dầu nhớt thải 17 02 04
4 - Bao bì mền thải 18 01 01
5 - Bao bì cứng bằng nhựa 18 01 03
6 - Bao bì cứng bằng kim loia5 18 01 02
7 - Chất hấp thụ, vật liệu lộc, giẻ lau 18 02 01
8 - Pin, ắc quy chì thải 19 06 01</t>
  </si>
  <si>
    <t>tại Số 10, Đường số 25, Khu công nghiệp Việt Nam – Singapore II-A, Phường Vĩnh Tân, Thành phố Tân Uyên, Tỉnh Bình Dương, Việt Nam.</t>
  </si>
  <si>
    <t>20/03/26</t>
  </si>
  <si>
    <t>11/03/2024</t>
  </si>
  <si>
    <t>01/03/2026</t>
  </si>
  <si>
    <t>Công Ty TNHH Hồng Vạn</t>
  </si>
  <si>
    <t>Rác công nghiệp:
1 -  nylon, dây đai, mút xốp, gỗ vụn, bụi điều, giẻ lau không dính thành phần nguy hại</t>
  </si>
  <si>
    <t>Công ty Cổ Phần Bao Bì Bình Minh Group</t>
  </si>
  <si>
    <t>1 - Bao bì mền thải 18 01 01 rắn)
2 - Bao bì cứng thải bằng kim loại bao gồm cả bình chứa áp suất rỗng hoàn toàn 18 01 02 (rắn)
3 - Hộp mực in thải có các TPNH 08 02 04 (rắn)
4 - Bóng đèn huỳnh quang và các loại thủy tinh hoạt tính thải 16 01 06 (rắn)
5 - Các loại dầu động cơ, hộp số và bôi trơn thải khác 17 02 04 ( Lỏng)
6 - Bao bì cứng bằng nhựa 18 01 03 rắn)
7 - Chất hấp thụ, vật liệu lọc (bao gồm cả vật liệu lọc dầu chưa nêu tại các mã khác) , giẻ lau , vải bảo vệ thải bị nhiễm các thành phần nguy hại 18 02 01 (rắn)
Pin, ắc quy chì thải 19 06 01 (rắn)
8 - Nhựa và gỗ thải có hoăc bị nhiễm các thành phần nguy hại 09 01 01 rắn)
9 - Pin, ắc quy chì thải 19 06 01 rắn)</t>
  </si>
  <si>
    <t>Công ty TNHH ACE Machinery Vina</t>
  </si>
  <si>
    <t>Nylon, carton, dây dai, mút xốp, gỗ vụn, giấy vụn, nhựa thải</t>
  </si>
  <si>
    <t>Công ty Cổ Phần Thành Dương
74.001.569.T</t>
  </si>
  <si>
    <t>4, 07.03.2024</t>
  </si>
  <si>
    <t>4, 12.03.2024</t>
  </si>
  <si>
    <t>4,12.03.2024</t>
  </si>
  <si>
    <t>13/03/2024</t>
  </si>
  <si>
    <t>1 - Bao bì cứng thải bằng kim loại bao gồm cả bình chứa áp suất rỗng hoàn toàn 18 01 02 (rắn)
2 - Bao bì cứng bằng nhựa 18 01 03(rắn)
3 - Chất hấp thụ, vật liệu lọc (bao gồm cả vật liệu lọc dầu chưa nêu tại các mã khác) , giẻ lau , vải bảo vệ thải bị nhiễm các thành phần nguy hại 18 02 01 (rắn)
Pin, ắc quy chì thải 19 06 01 (rắn)
4 - Chất thải lây nhiễm 13 01 01(rắn)
5 - Các loại dung môi và hỗn hợp dung môi thải khác 17 08 03 (lỏng)
6 - Pin, ắc quy chì thải 19 06 01 (rắn)
7 - Bóng đèn huỳnh quang và các loại thủy tinh hoạt tính thải 16 01 06 (rắn)
8 - Hộp mực in thải chứa các TPNH 08 02 04(rắn)
9 - Các loại dầu động cơ, hộp số và bôi trơn thải 17 02 04(lỏng)
10 - Bao bì mền 18 01 01(rắn)
11 - Dầu thủy lực tổng hộp thải 17 01 06(lỏng)
12 - Cặn sơn, sơn, vecni thải có các thành phần dung môi hữu cơ hoặc các thành phần nguy hại khác 08 01 01 (lỏng)
13 - Chất kết dính và chất bịt kín thải có dung môi hữu cơ hoặc các TPNH khác 08 03 01 (rắn/lỏng)</t>
  </si>
  <si>
    <t>Công ty TNHH Furni Goods</t>
  </si>
  <si>
    <t>69/9 Đường Tân Mỹ 01, Ấp Vườn Vũ, Xã Tân Mỹ, huyện Bắc Tân Uyên, tỉnh Bình Dương</t>
  </si>
  <si>
    <t>01-Axit tẩy rửa	07 01 01	Lỏng
02-Bazơ tẩy thải	07 01 03	Lỏng
03-Bùn thải của quá trình photphat hóa	07 01 04	Bùn
04-Bùn thải và bã lọc có các thành phần nguy hại	07 01 05	Bùn
05-Chất thải có các thành phần nguy hại từ quá trình tẩy mỡ nhờn	07 01 06	Lỏng
06-Dầu tổng hợp thải từ quá trình gia công tạo hình	07 03 05	Lỏng
07-Các vật liệu mài dạng hạt thải có các thành phần nguy hại (cát, bột mài…)	07 03 08	Rắn
08-Bùn thải nghiền mài có dầu	07 03 09	Rắn
09-Vật thể dùng để mài đã qua sử dụng có các thành phần nguy hại (ví dụ đá mài, giấy ráp)	07 03 10	Rắn
10-Phoi từ quá trình gia công tạo hình hoặc vật liệu bị mài ra lẫn dầu,nhũ tương hay dung dich thải có dầu hoặc các thành phần nguy hại khác	07 03 11	Rắn
11-Cặn sơn, sơn và véc ni thải có dung môi hữu cơ hoặc các thành phần nguy hại khác	08 01 01	Rắn
12-Bùn thải sơn hoặc véc ni có dung môi hữu cơ hoặc các thành phần nguy hại khác	08 01 02	Bùn
13-Hộp mực in thải có chứa thành phần nguy hại	08 02 04	Rắn
14-Chất kết dính và chất bịt kín thải có dung môi hữu cơ hoặc các thành phần nguy hại khác	08 03 01	Rắn
15-Bóng đèn huỳnh quang và các loại thủy tinh hoạt tính thải	16 01 06	Rắn
16-Các loại dầu động cơ, hộp số và bôi trơn thải khác	17 02 04	Lỏng
17-Dầu thủy lực tổng hợp thải	17 01 06	Lỏng
18-Dung môi thải	17 08 03	Lỏng
19-Bao bì cứng thải bằng kim loại bao gồm cả bình chứa áp suất bảo đảm rỗng hoàn toàn	18 01 02	Rắn
20-Bao bì cứng thải bằng nhựa	18 01 03	Rắn
21-Chất hấp thụ, vật liệu lọc (bao gồm cả vật liệu lọc dầu chưa nêu tại các mã khác), giẻ lau, vải bảo vệ thải bị nhiễm các thành phần nguy hại	18 02 01	Rắn
22-Pin, ắc quy chì thải	19 06 01	Rắn
23-Các loại chất thải khác có các thành phần nguy hại vô cơ và hữu cơ	19 12 03	Rắn</t>
  </si>
  <si>
    <t>07/03/2025</t>
  </si>
  <si>
    <t>1 lần / 6 tháng
6,12</t>
  </si>
  <si>
    <t>18/03/2024</t>
  </si>
  <si>
    <t>5, ngưng 15.03.2024</t>
  </si>
  <si>
    <t>4, 15.03.2024</t>
  </si>
  <si>
    <t>Công ty TNHH Dầu tư thương mại dịch vụ Lê Sang</t>
  </si>
  <si>
    <t>TBĐS 7, TĐS 349+429, Kp Bình Hoà 1, phường Tân Phước Khánh, Tx Tân Uyên, tỉnh BD</t>
  </si>
  <si>
    <t>Nilon, dây dai, mút xốp, giấy vụn, nhãn, bìa nhãn, gỗ vụn</t>
  </si>
  <si>
    <t>1 - Thùng đựng dầu nhớt, bao bì hóa chất.18 01 01 ( Rắn )
2 - Giẻ lau dính dầu nhớt. 18 02 01( Rắn )
3 - Dầu nhớt thải. 17 02 04 ( Lỏng)
4 - Keo thải 08 03 01( Rắn )
5 - Dung môi thải 08 01 05( Lỏng)
6 - Bóng đèn huỳnh quang thải 16 01 06( Rắn )
7 - Hộp mực in thải 08 02 04( Rắn )
8 - Pin, Ắc quy chì thải 19 06 01( Rắn )</t>
  </si>
  <si>
    <t>1 - Dung môi lẩn sơn thải 08 01 01(lỏng)
2 - Hộp mực in thải 08 02 04 ( Rắn )
3 - Keo thừa thải 08 03 01(lỏng)
4 - Bùn thải từ hệ thống xử lý nước thải 12 06 05(bùn)
5 - Rác thải y tế 13 01 01 ( Rắn )
6 - Bóng đèn huỳnh quang thải 16 01 06 ( Rắn )
7 - Dầu nhớt thải 17 02 04(lỏng)
8 - Thùng đựng sơn bằng kim loại 18 01 02 ( Rắn )
9 - Thùng đựng dầu nhớt, keo hóa keo bằng nhựa 18 01 03 ( Rắn )
10 - Giẻ lau, găng tay, giấy dính dầu nhớt 18 02 01 ( Rắn )
11 - PIn, ắc quy chì thải 19 06 01 ( Rắn )
12 - Mực in thải 08 02 01 ( Rắn )
13 - Keo thải 08 03 01(lỏng)</t>
  </si>
  <si>
    <t>Côngty cổ phần xây dựng cầu đường Bàu Bàng</t>
  </si>
  <si>
    <t xml:space="preserve">1 Bóng đèn huỳnh quang  16 01 06 (rắn)
2 Bao bì cứng thải bằng kim loại 18 01 02 (rắn)
3 Bao bì cứng thải bằng nhựa 18 01 03 (rắn)
4 Giẻ lau bị nhiễm các thành phần nguy hại 18 02 01 (rắn)
5 Pin, ắc quy chì thải 19 06 01 (rắn)
6 Dầu động cơ, hộp số và bôi trơn thải khác 17 02 04 (lỏng)
7 Chất thải lây nhiễm 13 01 01 (rắn)
</t>
  </si>
  <si>
    <r>
      <t xml:space="preserve">Số 194, tổ 5, Kp Bàu Long, thị trán Lai Uyên, huyện Bàu Bàng, tỉnh Bình Dương
</t>
    </r>
    <r>
      <rPr>
        <b/>
        <sz val="14"/>
        <rFont val="Times New Roman"/>
        <family val="1"/>
      </rPr>
      <t>Đsịa chỉ thu gom: Công trình cung cấp vật liệu, thiết bị và xây dựng đường D4 ( sso 5, đường số 7, KCN Vsip III tại phường Hội Nghĩa, Tp Tân Uyên và xã Tân Lập, huyện Bắc Tân Uyên, tỉnh Bình Dương</t>
    </r>
  </si>
  <si>
    <t>18/03/2025</t>
  </si>
  <si>
    <t>1 xe thùng</t>
  </si>
  <si>
    <t>01 lần/tháng
12, 6</t>
  </si>
  <si>
    <t>31/12/26</t>
  </si>
  <si>
    <t>20/04/2026</t>
  </si>
  <si>
    <t>Chi nhánh Tân Uyên - Công ty TNHH Thương mại sản xuất yến sào Việt Nam</t>
  </si>
  <si>
    <t>1 lần / 3 tháng
1,4,7,10</t>
  </si>
  <si>
    <t>Công ty TNHH Thịnh Việt II</t>
  </si>
  <si>
    <t>20/02/26</t>
  </si>
  <si>
    <t>Kp 8, Phường Uyên Hưng, TX Tân Uyên, Bình Dương</t>
  </si>
  <si>
    <t>02/04/2024</t>
  </si>
  <si>
    <t>1 - Dịch cái thải từ qua trình chiết tách và dung dịch tẩy rửa thải  03 01 01
2 - Các loia5 dịch cái thải từ qua trình chiêt tách 03 01 03
3 - các loia5 cặn phẩm ứng và cặn dây tháp 03 01 05
4 - Cặn sơn và sơn vecni thải có dung môi hữu cơ 08 01 01
5 - Hộp mực in thải 08 02 04
6 - Bóng đèn huỳnh quang và các loại thủy tinh hoạt tính thải 16 01 06 (rắn)
7 - Bao bì mền thải 18 01 01
8 - Bao bì cứng thải bằng kim loại bao gồm cả bình chứa áp suất rỗng hoàn toàn 18 01 02 (rắn)
9 - Bao bì cứng bằng nhựa 18 01 03
10 - Chất hấp thụ, vật liệu lọc (bao gồm cả vật liệu lọc dầu chưa nêu tại các mã khác) , giẻ lau , vải bảo vệ thải bị nhiễm các thành phần nguy hại 18 02 01 (rắn)
11 - Pin, ắc quy chì thải 19 06 01
12 - Các loại chất thải khác chứa thành phần nguy hại vô cơ và hữu cơ 19 12 03</t>
  </si>
  <si>
    <t>Chất thải công nghiệp thông thường: Carton, nylon, dây dai, mút xốp, gỗ vụn, giấy vụn, gòn, nhựa thải, da thải tỏng quá tình gia công cắt may</t>
  </si>
  <si>
    <t xml:space="preserve">Công ty TNHH Niemen Tehtaat VN </t>
  </si>
  <si>
    <t>Kp Tân Hoá, phường Tân Vĩnh Hiệp, Tp Tân Uyên, tỉnh Bình DƯơng</t>
  </si>
  <si>
    <t>03/04/2024</t>
  </si>
  <si>
    <t>1 - Muối Photphat kali
2 - Endox khô
3 - Endox 5X cô đặc
4- Bột Ca Co3 và trấu</t>
  </si>
  <si>
    <t>31/12/2027</t>
  </si>
  <si>
    <t>Công ty TNHH Nam Tín Nguyên</t>
  </si>
  <si>
    <t>TĐS 216, TBĐS 46, đường Khánh Bình 71, tổ 5, Kp Khánh Lộc, phường Khánh Bình, tp Tân Uyên, tỉnh Bình Dương</t>
  </si>
  <si>
    <t>1,3</t>
  </si>
  <si>
    <t>05/04/2024</t>
  </si>
  <si>
    <t>01 lần/2 tháng
1,3,5,7,9,11</t>
  </si>
  <si>
    <t>Công ty TNHH An Việt Bình Dương</t>
  </si>
  <si>
    <t>Lô A6-A7, đường N5, KCN Nam Tân Uyên mở rộng, phường Hội Nghĩa, Tp Tân Uyên, tỉnh Bình Dương</t>
  </si>
  <si>
    <t xml:space="preserve">1 Bóng đèn huỳnh quang  16 01 06 (rắn)
2 Giẻ lau bị nhiễm các thành phần nguy hại 18 02 01 (rắn)
3 Pin, ắc quy chì thải 19 06 01 (rắn)
4 Dầu nhớt thải 17 02 04 (lỏng)
5 Mực in, chất thải từ in ấn 08 02 01 (rắn)
</t>
  </si>
  <si>
    <t>Theo yêu  cầu</t>
  </si>
  <si>
    <t>Trung tâm Đầu tư, khai thác thuy lợi và nước sạch nông thôn</t>
  </si>
  <si>
    <t>1 Bóng đèn huỳnh quang và các loại thủy tinh hoạt tính thải 16 01 06 (rắn)
2 Bao bì cứng thải bằng kim loại bao gồm cả bình chứa áp suất rỗng hoàn toàn 18 01 02 (rắn)
3 Bao bì cứng thải bằng nhựa 18 01 03 (rắn)
4 Chất hấp thụ, vật liệu lọc (bao gồm cả vật liệu lọc dầu chưa nêu tại các mã khác) , giẻ lau , vải bảo vệ thải bị nhiễm các thành phần nguy hại 18 02 01 (rắn)
5 Pin, ắc quy chì thải 19 06 01 (rắn)
6 Các loại dầu động cơ, hộp số và bôi trơn thải khác 17 02 04 (lỏng)
7  Thiết bị thải có các bộ phận linh kiện điện tử  19 02 05 (rắn)
8 Bao bì mềm thải 18 01 01 (rắn)</t>
  </si>
  <si>
    <t>31/12/2025</t>
  </si>
  <si>
    <t>Trạm cấp nước xã Thạnh Hội( Ấp Nhựt Thạnh, xã Thạnh Hội
Trạm cấp nước xã Bạch Đằng( Ấp Tân Long, xã Bạch Đằng
Trạm cấp nước xã Lạc An( Ấp 03, xã Lạc An
Trạm cấp nước xã Tân Bình( Khu 01, thị trấn Tân Bình
Trạm cấp nước xã Thường Tân( Ấp 03, xã Thường Tân</t>
  </si>
  <si>
    <t>Trạm cấp nước xã Tân Lập( Ấp 03, xã Tân Lập
Trạm cấp nước xã Bình Mỹ( Ấp Mỹ Đức, xã Bình Mỹ
Trạm cấp nước xã Hiếu Liêm 1( Ấp Cây Dừng, xã Hiếu Liêm
Trạm cấp nước xã Hiếu Liêm 2( Ấp Cây Dâu, xã Hiếu Liêm</t>
  </si>
  <si>
    <t xml:space="preserve">1- Bùn thải từ quá trình xư lý nước cấp
2- Chất thải rắc từ quá trình lộc thô
</t>
  </si>
  <si>
    <t>1 - Bao nylon, PVC thải, mút xốp, pallet gỗ</t>
  </si>
  <si>
    <t>1 xe nhỏ</t>
  </si>
  <si>
    <t xml:space="preserve">Ngưng 9/4/2024
</t>
  </si>
  <si>
    <t>16/04/2024</t>
  </si>
  <si>
    <t>30/03/2025</t>
  </si>
  <si>
    <t>Công ty TNHH Quốc tế Yuu Chang Việt Nam</t>
  </si>
  <si>
    <t>Một phần lô đất A7 (ô A7.2), đường N3, KCN KSB, Khu b, xã Đát cuốc, huyện Bắc Tân Uyên</t>
  </si>
  <si>
    <t xml:space="preserve">1-Bóng đèn huỳnh quang và các loại thủy tinh hoạt tính thải 16 01 06 (rắn)
2-Bao bì cứng thải bằng kim loại bao gồm cả bình chứa áp suất rỗng hoàn toàn 18 01 02 (rắn)
3-Bao bì cứng thải bằng nhựa 18 01 03 (rắn)
4-Chất hấp thụ, vật liệu lọc (bao gồm cả vật liệu lọc dầu chưa nêu tại các mã khác) , giẻ lau , vải bảo vệ thải bị nhiễm các thành phần nguy hại 18 02 01 (rắn)
5-Pin, ắc quy chì thải 19 06 01 (rắn)
6-Các loại dầu truyền nhiệt và cách điện thải khác (lỏng)
7-Cặn sơn, sơn, vecni thải có các thành phần dung môi hữu cơ hoặc các thành phần nguy hại khác 08 01 01 (lỏng)
8-Hộp mực in thải có các TPNH 08 02 04 (rắn)
9-Bùn thải có các TPNH từ quá tình gia công tạo hình 07 03 07 (bùn)
10-Phoi từ quá trình gia công tạo hình hoặc vật liệu bị mài ra lẫn dầu, nhũ tương hay dung dịch thải có dầu hoặc các thành phần nguy hại 07 03 11 (rắn)
11- Axit tẩy thải 07 01 01  (lỏng)
12- Bùn thải và bả lọc có các TPNH 07 01 05 (bùn)
13- Chất thải có các TPNH từ quá trình tẩu mỡ nhờn 07 01 07 (lỏng)
14- Dầu tổng hợp thải từ quá trình gia công tạo hình 07 03 05 (lỏng)
15- Que hàn thải có các kim loại nặng hoặc TPNH 07 04 01 (rắn)
16- Xỉ hàn có các kim loại nặng hoặc các thành phần nguy hại khác 07 04 02 (rắn)
17- Hóa chất hữu cơ chứa thành phần nguy hại khác 19 05 04 (rắn)
18- Hoá chất vô cơ thải bao gồm hoặc có TPNH 19 05 03 (rắn/lỏng)
19- Các loại chất tahri khác có các TPNH hữu cơ 19 12 02 (rắn)
</t>
  </si>
  <si>
    <t>01/05/2025</t>
  </si>
  <si>
    <t>c</t>
  </si>
  <si>
    <t>Công ty TNHH Kỹ Nghệ Gỗ Hoa Nét
74.002.031.T</t>
  </si>
  <si>
    <t>Công ty TNHH Kỹ Nghệ Gỗ Hoa Nét</t>
  </si>
  <si>
    <t>20/10/2027</t>
  </si>
  <si>
    <t>TDS 217, TBĐS 37Kp Long Bình, Phường Khánh Bình, Thị Xã Tân Uyên, Tỉnh Bình Dương</t>
  </si>
  <si>
    <t>4, ngưng 19/04</t>
  </si>
  <si>
    <t>23/04/2024</t>
  </si>
  <si>
    <t>Công ty TNHH Xử lý Môi Trường AHQ</t>
  </si>
  <si>
    <t>Công ty TNHH Công nghiệp Phúc Cần (Lô N3-N7, đường D3-D4, KCN Nam Tân Uyên, phường Khánh Bình, Tân Uyên, Bình Dương</t>
  </si>
  <si>
    <t>08/08/2024</t>
  </si>
  <si>
    <t>1 - Hộp mực in có các tp nguy hại 08 02 04(rắn)
2 - Chất kết dính và chất bịt kín thải có dung môi hữu cơ hoặc có các tp nguy hại 08 03 01(rắn)
3 - Bùn thải có các tp nguy hại từ quá trình xử lý nước thải 12 06 05(bùn)
4 - Bóng đèn huỳnh quang và các loại thủy tinh thải 16 01 06(rắn)
5 - Các loại dầu động cơ và hộp số bôi trơn thải 17 02 04(lỏng)
6 - Các loại dung môi và hỗn hơp dung môi thải khác 17 08 03(lỏng)
7 - Bao bì cứng thải bằng kim loại bao gồm cả bình chứa áp suất 18 01 02(rắn)
8 - Bao bì cứng thải bằng nhựa 18 01 03(rắn)
9 - Chất hấp thụ vật liệu lộc, giẻ lau 18 02 01(rắn)
10 - Pin, ắc quy chì thải 19 06 01(rắn)</t>
  </si>
  <si>
    <t>Công ty TNHH Plasticolors VietNam</t>
  </si>
  <si>
    <t>25/04/2024</t>
  </si>
  <si>
    <t>03/05/2024</t>
  </si>
  <si>
    <t>21/04/2026</t>
  </si>
  <si>
    <t xml:space="preserve">1 -  Bóng đèn huỳnh quang thải 16 01 06
2 -  Dầu nhớt thải 17 02 04
3 - Xỉ hàn có các kim loại nặng hoặc các thành phần nguy hại 07 04 02
4 - Giẻ lau, bao tay dính dầu nhớt 18 02 01
5 - Bao bì cứng thải bằng kim loại bao gồm cả bình chứa áp suất bảo đảm rỗng hoàn toàn 18 01 02
6 - Bao bì cứng thải bằng nhựa 18 01 03
7 - Cặn sơn, sơn và véc ni thải có dung môi hữu cơ hoặc các thành phần nguy hại khác 08 01 01
</t>
  </si>
  <si>
    <t>20/05/2028</t>
  </si>
  <si>
    <t>20/05/2026</t>
  </si>
  <si>
    <t>số 18 Vsip II-A, đường số 23 khu công nghiệp Việt Nam – Singapore II-A, phường Vĩnh Tân, thành phố Tân Uyên, tỉnh Bình Dương</t>
  </si>
  <si>
    <t>01	Hộp mực in thải có các thành phần nguy hại	08 02 04	Rắn
02	Chất kết dính và chất bịt kín thải có dung môi hữu cơ hoặc các thành phần nguy hại khác	08 03 01	Lỏng
03	Bóng đèn huỳnh quang và các loại thuỷ tinh hoạt tính thải	16 01 06	Rắn
04	Các loại dầu động cơ, hộp số và bôi trơn tổng hợp thải khác	17 02 04	Lỏng
05	Các loại dung môi và hỗn hợp dung môi thải khác	17 08 03	Lỏng
06	Bao bì mềm thải	18 01 01	Rắn
07	Bao bì cứng thải bằng kim loại bao gồm cả bình chứa áp suất bảo đảm rỗng hoàn toàn	18 01 02	Rắn
08	Bao bì cứng thải bằng nhựa	18 01 03	Rắn
09	Chất hấp thụ, vật liệu lọc (bao gồm cả vật liệu lọc dầu chưa nêu tại các mã khác), giẻ lau, vải bảo vệ thải bị nhiễm các thành phần nguy hại	18 02 01	Rắn
10	Pin, ắc quy chì thải	19 06 01	Rắn
11	Các loại chất thải khác có các thành phần nguy hại vô cơ và hữu cơ (than hoạt tính thải)	19 12 03	Rắn
12	Bùn thải có các thành phần nguy hại từ quá trình xử lý nước thải công nghiệp khác	12 06 05	Bùn</t>
  </si>
  <si>
    <t>2 lần / tháng
10/20204,3/2025</t>
  </si>
  <si>
    <t>07/05/2024</t>
  </si>
  <si>
    <t>07/052/2024</t>
  </si>
  <si>
    <t>Công ty TNHH Siêu Thịnh</t>
  </si>
  <si>
    <t>Công ty CP Cảng Thạnh Phước
74,001,442,T</t>
  </si>
  <si>
    <t>Công ty TNHH Gỗ Duệ Trí</t>
  </si>
  <si>
    <t>TĐS 17, TBĐS 33, đường ĐT 746, Kp Tân Long, phường Tân Hiệp, Tp Tân Uyên, tỉnh Bihf Dương</t>
  </si>
  <si>
    <t>1- Keo thải 08 03 01 (lỏng)
2- Dung môi thỉa 17 08 03 (lỏng)
3- Tro thải 07 01 01 (rắn)
4-Chất hấp thụ, vật liệu lọc (bao gồm cả vật liệu lọc dầu chưa nêu tại các mã khác), giẻ lau, vải bảo vệ thải bị nhiễm các thành phần nguy hại	18 02 01	Rắn</t>
  </si>
  <si>
    <t>2 lần / năm
5,11</t>
  </si>
  <si>
    <t>4, 04/05/2024</t>
  </si>
  <si>
    <t>3,04/05/2024</t>
  </si>
  <si>
    <t>7,04/05/2024</t>
  </si>
  <si>
    <t>Ngưng 06/05/2024</t>
  </si>
  <si>
    <t>Cty TNHH Gỗ Quyền Phát</t>
  </si>
  <si>
    <t>Thửa đất số 152, tờ bản đồ số 6, Kp Khánh Lộc, P Tân Phước Khánh, TYP Tân Uyên, Tình Bình Dương</t>
  </si>
  <si>
    <t>Chất thải công nghiệp: carton, nylon, dây đai, mút xốp, gỗ vụn, nhựa thải, giấy nhám, giấy vụn</t>
  </si>
  <si>
    <t>0982.071.206</t>
  </si>
  <si>
    <t>Công ty TNHH sản xuất-Thương Mại Và DV Tân Tân Mỹ</t>
  </si>
  <si>
    <t>Chất thải hầm cẩu, bùn thải bể tự hoại, nước thải sinh hoạt</t>
  </si>
  <si>
    <r>
      <t xml:space="preserve">địa chỉ thu gom: </t>
    </r>
    <r>
      <rPr>
        <b/>
        <sz val="14"/>
        <rFont val="Times New Roman"/>
        <family val="1"/>
      </rPr>
      <t>số 3 Vsip 2A, đường số 31, KCN VN- Singapore IIA, P Vĩnh tân, Thị Xã Tân Uyên, Tỉnh BD</t>
    </r>
  </si>
  <si>
    <t>13/05/2024</t>
  </si>
  <si>
    <t>Chất thải hầm cầu, bùn thải bể tự hoại.</t>
  </si>
  <si>
    <t>Nylon, dây đai, mút xốp, giấy vụn, carton, gỗ vụn</t>
  </si>
  <si>
    <t>Công ty TNHH Công nghệ Minh Hân Tech</t>
  </si>
  <si>
    <t>14/05/2024</t>
  </si>
  <si>
    <t>31/01/2025</t>
  </si>
  <si>
    <t>Phế liệu các loại, bao gồm: gỗ mục, giấy carton ướt, vải bẩn, ghế hỏng, bàn hỏng, bảng hỏng, xà bần, kính vỡ và các loại rác khác được phân loại là chất thải không nguy hại theo pháp luật Việt Nam</t>
  </si>
  <si>
    <t>Địa chỉ 1: Lô F1, F2, F19, F20, Đường D2, N4, N5, KCN Nam Tân Uyên Mở Rộng, Xã Hội Nghĩa, Tp Tân Uyên, Bình Dương
Địa chỉ 2: Lô N12, đường N2, KCN Nam Tân Uyên Mở Rộng, Xã Hội Nghĩa, Tp Tân Uyên, Bình Dương</t>
  </si>
  <si>
    <t>15/05/2024</t>
  </si>
  <si>
    <t>Công ty TNHH MTV Grand Wood Việt Nam</t>
  </si>
  <si>
    <t>1 - Thùng đựng dầu nhớt, keo bằng kim loại 18 01 02
2 - Thùng đựng dầu nhớt, keo bằng nhựa 18 01 03
3 - Giẻ lau, găng tay dính dầu nhớt 18 02 01
4 - Bóng đèn huỳnh quang thải 16 01 06
5 - Dầu nhớt thải 17 02 04
6 - Pin, ắc quy chì thải 19 06 01
7 - Hộp mực in thải 08 02 04
8 - Keo thải 08 03 01</t>
  </si>
  <si>
    <t xml:space="preserve">1  - Bóng đèn huỳnh quang và các loại thủy tinh hoạt tính thải 16 01 06 (rắn)
2 - Các loại dầu động cơ, hộp số và bôi trơn thải khác 17 02 04 (lỏng)
3 - Chất hấp thụ, vật liệu lọc (bao gồm cả vật liệu lọc dầu chưa nêu tại các mã khác) , giẻ lau , vải bảo vệ thải bị nhiễm các thành phần nguy hại 18 02 01 (rắn)
4 - Hộp mực in thải 08 02 04
5 - Pin, ắc quy chì thải 19 06 01
6 - Bao bì mềm 18 01 01
7 -  Bao bì cứng thải bằng kim loại bao gồm cả bình chứa áp suất rỗng hoàn toàn 18 01 02 (rắn)
8 - Bao bì cứng bằng nhựa 18 01 03
9 - Dầu thủy lực tổng hợp thải 17 01 06
10 -Bùn thải có chứa thành phần nguy hại từ quá trình xử lý nước thải công nghiệp khác 12 06 05 (bùn)
11 - Chất kết dính và chất bịt kín thải có dung môi hữu cơ hoặc các TPNH khác 08 03 01 (rắn/lỏng)
12 - Mùn cưa, phôi bào, dầu mẫu, gỗ thừa, ván và gỗ dán vụn có chứa các thành phần nguy hại 09 01 01 (rắn)
</t>
  </si>
  <si>
    <t>03/05/2025</t>
  </si>
  <si>
    <t xml:space="preserve">1 - Thùng chứa sơn, keo, dung môi, dầu nhớt bằng kim loại 18 01 02
2 - Bao bì chứa hóa chất, dung môi bằng nhựa thải 18 01 03
3 - Giẻ lau, bao tay dính dầu, nhớt sơn 18 02 01
4 - Bóng đèn huỳnh quang thải 16 01 06
5 - Dầu nhớt thải 17 02 04
6 - Pin , ắc quy chì tahi3 19 06 01
7 - Sơn thải 08 01 01
8 - Dung môi thải 17 08 03
9 - Hộp mực in 08 02 04
10 Bao bì mềm 18 01 01 </t>
  </si>
  <si>
    <t>Cẩu nhỏ</t>
  </si>
  <si>
    <t>1 - Rác y tế 13 01 01 
2 - Pin, ắc quy chì thải 19 06 01
3 - Giẻ lau dính dầu nhớt 18 02 01
4 - Thùng, can đựng dầu nhớt, chất phụ gia thải 18 01 02
5 - Dầu nhớt thải 17 02 04
6 - Bóng đèn huỳnh quang thải 16 01 06
7- Thùng đựng keo 18 01 03 (rắn)
8- Keo Thải 08 03 01 (Rắn)
9- Mực in thải 08 02 01 (lỏng)
10- Dung môi thải 17 08 03 (lỏng)
11- Bùn từ hệ thống xử lý nước thải sinh hoạt 12 06 05 (bùn)</t>
  </si>
  <si>
    <t>18/05/2024</t>
  </si>
  <si>
    <t>21/06/2026</t>
  </si>
  <si>
    <t>1-Bóng đèn huỳnh quang và các loại thủy tinh hoạt tính thải 16 01 06 (rắn)
2-Bao bì cứng thải bằng kim loại bao gồm cả bình chứa áp suất rỗng hoàn toàn 18 01 02 (rắn)
3-Bao bì cứng thải bằng nhựa 18 01 03 (rắn)
4-Chất hấp thụ, vật liệu lọc (bao gồm cả vật liệu lọc dầu chưa nêu tại các mã khác) , giẻ lau , vải bảo vệ thải bị nhiễm các thành phần nguy hại 18 02 01 (rắn)
5-Pin, ắc quy chì thải 19 06 01 (rắn)
6-Các loại dầu động cơ, hộp số và bôi trơn thải khác 17 02 04 (lỏng)
7-Chất kết dính và chất bịt kín thải có dung môi hữu cơ hoặc các TPNH khác 08 03 01 (rắn/lỏng)
8-Cặn sơn, sơn, vecni thải có các thành phần dung môi hữu cơ hoặc các thành phần nguy hại khác 08 01 01 (lỏng)
9-Các loại dung môi và hỗn hợp dung môi thải khác 17 08 03 (lỏng)
10-Hộp mực in thải có các TPNH 08 02 04 (rắn)
11-Bùn thải có chứa thành phần nguy hại từ quá trình xử lý nước thải công nghiệp khác 12 06 05 (bùn)
12-Mùn cưa, phôi bào, dầu mẫu, gỗ thừa, ván và gỗ dán vụn có chứa các thành phần nguy hại 09 01 01 (rắn)
13- Bao bì mềm 18 01 01 (rắn)
14- Các loại chất thải khác có các thành phần nguy hại vô cơ và hữu cơ (than hoạt tính) 19 12 03 (rắn)
15- Dầu thuỷ lực tổng hợp thải 17 01 06 (lỏng)</t>
  </si>
  <si>
    <t>20/05/26</t>
  </si>
  <si>
    <t>Ngưng 14/05/2024</t>
  </si>
  <si>
    <t>4, 21/05/2024</t>
  </si>
  <si>
    <t>1 hop</t>
  </si>
  <si>
    <r>
      <t xml:space="preserve">1 - Thùng nhựa dính thành phần nguy hại    18 01 03(rắn)
2 - Thùng kim loại đựng dầu nhớt, dung môi, mực in 18 01 02(rắn)
</t>
    </r>
    <r>
      <rPr>
        <b/>
        <sz val="14"/>
        <rFont val="Times New Roman"/>
        <family val="1"/>
      </rPr>
      <t>(Ghi rõ số lượng cái ở phần ghi chú)</t>
    </r>
  </si>
  <si>
    <t>1 thùng</t>
  </si>
  <si>
    <t xml:space="preserve">1 Bóng đèn huỳnh quang  16 01 06 (rắn)
2 Giẻ lau bị nhiễm các thành phần nguy hại 18 01 01 (rắn)
3 Pin, ắc quy chì thải 19 06 01 (rắn)
4 Dầu nhớt thải 17 02 04 (lỏng)
5 Hộp mực in 08 02 04 (rắn)
</t>
  </si>
  <si>
    <t>24/05/2024</t>
  </si>
  <si>
    <t>số 14/2, tổ 1, KP Khánh Lộc, Phường Khánh Bình, Tp Tân Uyên, BD</t>
  </si>
  <si>
    <t>Công ty Cổ Phần Giấy Hưng Thịnh 
74.000.406.T</t>
  </si>
  <si>
    <t xml:space="preserve">Công ty Cổ Phần Giấy Hưng Thịnh </t>
  </si>
  <si>
    <t>20/06/2026</t>
  </si>
  <si>
    <t>30/06/2025</t>
  </si>
  <si>
    <t>16/05/2025</t>
  </si>
  <si>
    <t>01 lần/ 6tháng
6,12</t>
  </si>
  <si>
    <t>Đại điểm kinh doanh Công ty TNHH Ace Furniture(Lô W3, đường D4a, KCN Nam Tân Uyên, phường Khánh Bình, Tp Tân Uyên, tỉnh Bình Dương)</t>
  </si>
  <si>
    <t>Công ty TNHH Công nghệ kỹ thuật điều khiển thông minh P&amp;C</t>
  </si>
  <si>
    <t>1 - Hộp mực in thải có chứa các thành phần nguy hại 08 02 04
2 - Bóng đèn huỳnh quang thải 16 01 06
3 - Các loại dầu động cơ, hộp số và bôi trơn thải khác 17 02 04
4 -Bao bì cứng bằng kim loại 18 01 02
5 - Chất hấp thụ vật liệu lộc, giẻ lau 18 02 01
6 - Pin, thải 19 06 01 
7- Bùn từ hệ thống xử lý nước thải 08 01 02 (bùn)</t>
  </si>
  <si>
    <t>1 - Thùng đựng sơn, dung môi, dầu nhớt thải; 18 01 01 ( Rắn )
2 -  Lọ đựng keo thải;18 01 01 ( Rắn )
3 -  Giẻ lau dính sơn, dung môi, dầu nhớt thải 18 02 01;  ( Rắn )
4 -  Cặn sơn thải; 08 01 01 ( Rắn )
5 - Keo thải; 08 03 01(lỏng)
6 -  Bột trét thừa thải;  08 03 01 ( Rắn )
7 - Dầu nhớt thải; 17 02 04(lỏng)
8 -  Pin ắc quy chì thải;  19 06 01 ( Rắn )
9 - Hộp mực in thải; 08 02 04 ( Rắn )
10 -  Bóng đèn huỳnh quang thải; 16 01 06 ( Rắn )
11 -  Bùn từ hệ thống  xử lý nước thải 12 06 05(bùn)
12 -  Băng keo thải. 08 03 01 ( Rắn )</t>
  </si>
  <si>
    <t>29/05/2024</t>
  </si>
  <si>
    <t>Theo yêu càu</t>
  </si>
  <si>
    <t>Công ty Cổ Phần Gạch Ngói Đồng Nai</t>
  </si>
  <si>
    <t>okk hđ</t>
  </si>
  <si>
    <t>Công ty TNHH Hoàng Gia Trung</t>
  </si>
  <si>
    <t>Số 14, Lô S, KCD Thương mại Uyên Hưng, phường Uyên Hưng, Tân Uyên, BD</t>
  </si>
  <si>
    <t>21/05/2025</t>
  </si>
  <si>
    <t>01/06/2024</t>
  </si>
  <si>
    <t>1-Bóng đèn huỳnh quang và các loại thủy tinh hoạt tính thải 16 01 06 (rắn)
2-Bao bì cứng thải bằng kim loại bao gồm cả bình chứa áp suất rỗng hoàn toàn 18 01 02 (rắn)
3-Chất hấp thụ, vật liệu lọc (bao gồm cả vật liệu lọc dầu chưa nêu tại các mã khác) , giẻ lau , vải bảo vệ thải bị nhiễm các thành phần nguy hại 18 02 01 (rắn)
4-Pin, ắc quy chì thải 19 06 01 (rắn)
5-Các loại dầu động cơ, hộp số và bôi trơn thải khác 17 02 04 (lỏng)</t>
  </si>
  <si>
    <t>01 lần/ 6 tháng
9/2024, 03/2025</t>
  </si>
  <si>
    <t>06/05/2025</t>
  </si>
  <si>
    <t>thửa đất số 773, tờ bản đồ số 52, KP Khánh Hội, Tân Phước Khánh, TU, BD</t>
  </si>
  <si>
    <t>20/05/28</t>
  </si>
  <si>
    <t>GF</t>
  </si>
  <si>
    <t>1 làn / 2 tháng
1,3,5,7,9,11</t>
  </si>
  <si>
    <t>05/06/2024</t>
  </si>
  <si>
    <t>1 - 
2 - Axit tây thải 07 01 01 
3 - Bùn thải và bả lộc 07 01 05
4 -Phoi từ quá trình gia công tạo hình 07 03 11
5 - Cặn sơn, sơn và vecni thải có các thành phần nguy hại 08 01 01
6 - Hộp mực in thải chứa các thành phần nguy hại 08 02 04
7 - Bóng đèn huỳnh quang thải 16 01 06
8 - Dầu thủy lực tổng hộp thải 17 01 06
9 - Các loia5 dầu động cơ, hộp số 17 02 04
10 - Các loia5 dầu truyền nhiệt 17 03 05
11 - Các loia5 dung môi 17 08 03
12 - Bao bì mền thải 18 01 01
13 - Bao bì cứng bằng kim loại 18 01 02
14 - Bao bì cứng bằng nhựa 18 01 03
15 - Chất hấp thụ, vật liệu lộc, giẻ lau 18 02 01
16 - Pin, ắc quy chì thải 19 06 01</t>
  </si>
  <si>
    <t>1 - Thùng chứa sơn, keo, dung môi, dầu nhớt bằng kim loại 18 01 02
2 - Bao bì chứa hóa chất, dung môi bằng nhựa thải 18 01 03
3 - Sơn, vecni thải 08 01 01
4 - Dầu nhớt thải 17 02 04
5 - Pin, ắc quy chì thải 19 06 01
6 - Giẻ lau dính dầu nhớt, sơn, keo, dung môi 18 02 01
7 - Hộp mực in thải 08 02 04
8 - Bóng đèn huỳnh quang thải 16 01 06
9 - Dung môi thải 17 08 03
10 - Keo thải 08 03 01
11 - Băng keo thải 08 03 01
12 - Bùn từ hệ thống xử lý nước thải 12 06 05 (bùn)</t>
  </si>
  <si>
    <t>Công ty TNHH Medocchenie ( viển đông)
74.002.075,T</t>
  </si>
  <si>
    <t>4, 06/06/2024</t>
  </si>
  <si>
    <t>4,06 06/2024</t>
  </si>
  <si>
    <t>7, 06/06/2024</t>
  </si>
  <si>
    <t>4, ngưng miệng 11/06/2024</t>
  </si>
  <si>
    <t>11/06/2024</t>
  </si>
  <si>
    <t>Công ty TNHH Sản xuất thương mại Poyun</t>
  </si>
  <si>
    <t>Thửa đất số 547, tờ bản đồ số 49, đường Nguyễn Hữu Cảnh, KP 8, Phường Uyên Hưng, Tp Tân Uyên, Tỉnh BD</t>
  </si>
  <si>
    <t>Mút xốp, carton, dây dai, bao bì, túi bóng, giấy vụn, bột nhựa</t>
  </si>
  <si>
    <t>17/06/2024</t>
  </si>
  <si>
    <t>Công ty TNHH sản xuất - Thương Mại - Dịch vụ Tân Tường Khang</t>
  </si>
  <si>
    <t>Công ty TNHH Bê Tông Hồng Tín Bình Dương</t>
  </si>
  <si>
    <t>01 lần/6 tháng
10,4</t>
  </si>
  <si>
    <t>Công ty Cổ Phần Sơn Sento
74,003,953,T</t>
  </si>
  <si>
    <t>1 - Dầu tổng hộp thải 07 03 05
2 - Bùn thải có các thành phần nguy hại 07 03 07
3 - Các vật liệu mài dạng hạt có các thành phần nguy hại 07 03 08
4 - Phoi từ quá trình gia công tạo hình 07 03 11
5 - Mực in thải 08 02 01
6 - Hộp mực in thải 08 02 04
7 - Bóng đèn huỳnh quang thải 16 01 06
8 - Dầu thủy lực tổng hộp thải 17 01 06
9 - Các loại dầu động cơ, hộp số 17 02 04
10 - Các laoi5 dung môi 17 08 03
11 - Bao bì cứng bằng kim laoi5 18 01 02
12 - Bao bì cứng bằng nhau75 18 01 03
13 - Chất hấp thụ, giẻ lau 18 02 01
14 - Hóa chất hữu cơ thải bỏ 19 05 03
15 - Pin, ắc quy chì thải 19 06 01
16- Hoá chất hữu cơ bao gồm hoặc có các TPNH 19 05 04 (rắn)</t>
  </si>
  <si>
    <t>ép to</t>
  </si>
  <si>
    <t>4, nhân báo ngưnng miệng 11/06/2024, ngưng 20/06/2024</t>
  </si>
  <si>
    <t>20/06/2024, Ngưng 25/06/2024</t>
  </si>
  <si>
    <t>01 lần2 tháng
10,4</t>
  </si>
  <si>
    <t>01 lần/6 tháng
5,11</t>
  </si>
  <si>
    <t>1- Bóng đèn huỳnh quang và các loại thủy tinh hoạt tính thải 16 01 06 (rắn)
3 - Dầu động cơ, hộp số và bôi trơn thải khác 17 02 04 (lỏng)
4 - bao bì cứng bằng kim loại 18 01 02
6 - giẻ lau , vải bảo vệ thải bị nhiễm các thành phần nguy hại 18 02 01 (rắn)
7 - Pin, ắc quy chì thải 19 06 01</t>
  </si>
  <si>
    <t>Công ty TNHH Dịch vụ Thương mại Tam Thiên Tú</t>
  </si>
  <si>
    <t>Công ty TNHH Nhung Xương</t>
  </si>
  <si>
    <t>Công ty cổ phần đầu tư xây dựng Sol E&amp;C</t>
  </si>
  <si>
    <t>Nhà máy Tetra Pak Bình Dương ( Số 12, đường số 30, KCN Vsip 2A, phường Vĩnh Tân, Tp Tân Uyên, tỉnh Bình Dương)</t>
  </si>
  <si>
    <t>1-Bóng đèn huỳnh quang và các loại thủy tinh hoạt tính thải 16 01 06 (rắn)
2-Bao bì cứng thải bằng kim loại bao gồm cả bình chứa áp suất rỗng hoàn toàn 18 01 02 (rắn)
3-Bao bì cứng thải bằng nhựa 18 01 03 (rắn)
4-Chất hấp thụ, vật liệu lọc (bao gồm cả vật liệu lọc dầu chưa nêu tại các mã khác) , giẻ lau , vải bảo vệ thải bị nhiễm các thành phần nguy hại 18 02 01 (rắn)
5-Pin, ắc quy chì thải 19 06 01 (rắn)
6-Các loại dầu động cơ, hộp số và bôi trơn thải khác 17 02 04 (lỏng)
7- Hộp mực in thải có các TPNH 08 02 04 (rắn)
8- Bao bì mềm 18 01 01 (rắn)
9- Vật thể mài đã qua sử dụng có các TPNH 07 03 10 (rắn)
10- Que hàn thải các các kim loại nặng hoặc TPNH 07 04 01 (rắn)
11- Các thiết bị linh kiện điện tử thải 19 02 05 (rắn)
12- Nước thải có chứa các TPNH 19 10 01 (lỏng)</t>
  </si>
  <si>
    <t>08/07/2024</t>
  </si>
  <si>
    <t>31/05/02025</t>
  </si>
  <si>
    <t>04/07/2025</t>
  </si>
  <si>
    <t>Giấy vụn, gỗ vụn, nylon, dây đai, mút xốp, bao bì thải không nhiễm TPNH, xỉ tro từ lò đốt củi</t>
  </si>
  <si>
    <r>
      <t xml:space="preserve">Số 8 đại lô hữu nghị, KCN VN - Singapore, Phường Bình Hòa, TP Thuận An, Tỉnh Bình Dương
</t>
    </r>
    <r>
      <rPr>
        <b/>
        <sz val="14"/>
        <rFont val="Times New Roman"/>
        <family val="1"/>
      </rPr>
      <t>địa chỉ thu gom: 
Nhà máy xử lý nước thải KCN Vsip III</t>
    </r>
  </si>
  <si>
    <r>
      <t xml:space="preserve">Số 8 đại lô hữu nghị, KCN VN - Singapore, Phường Bình Hòa, TP Thuận An, Tỉnh Bình Dương
</t>
    </r>
    <r>
      <rPr>
        <b/>
        <sz val="14"/>
        <rFont val="Times New Roman"/>
        <family val="1"/>
      </rPr>
      <t>địa chỉ thu gom: 
Nhà máy xử lý nước thải KCN Vsip IIA</t>
    </r>
  </si>
  <si>
    <t>09/07/2024</t>
  </si>
  <si>
    <t>30/04/2027</t>
  </si>
  <si>
    <t>1-Hỗn hợp  bê tông, gạch ngối, tấm ốp, và gốm sứ thải khác với các loại trên  (xà bần)
2-Gỗ (bàn ghế)
3- Thuỷ tinh (kính vở)
4- Nhựa (Tấm poly, mút xốp)
5- Vật liệu xây dựng gốc thạch cao thải khác với các loại trên (tấn trần thạch cao)
6- Kim loại và hỗn hợp các kim loại không lẫn với CTNH ( xà gỗ, sắt thép ống và tấm, nhôm, inox, van, cửa sắt)
7- Bùn thải công nghiệp (bùn thải không nguy hại) 
8- Cát công nghiệp (không nguy hại)</t>
  </si>
  <si>
    <t>Công ty TNHH Sẳn xuất gỗ Vĩ Hạo</t>
  </si>
  <si>
    <t>TĐS 31, TBĐS 09, đường DT747B, Kp Ông Đông, phường Tân Hiệp Tp Tân Uyên, tỉnh Bình Dương</t>
  </si>
  <si>
    <t>1- Bóng đèn huỳnh quang và các loại thủy tinh hoạt tính thải 16 01 06 (rắn)
2- Bao bì cứng thải bằng kim loại bao gồm cả bình chứa áp suất rỗng hoàn toàn 18 01 02 (rắn)
3-Bao bì cứng thải bằng nhựa 18 01 03 (rắn)
4-Chất hấp thụ, vật liệu lọc (bao gồm cả vật liệu lọc dầu chưa nêu tại các mã khác) , giẻ lau , vải bảo vệ thải bị nhiễm các thành phần nguy hại 18 02 01 (rắn)
5-Pin, ắc quy chì thải 19 06 01 (rắn)
6-Các loại dầu động cơ, hộp số và bôi trơn thải khác 17 02 04 (lỏng)
7-Chất kết dính và chất bịt kín thải có dung môi hữu cơ hoặc các TPNH khác 08 03 01 (rắn/lỏng)
8- Hộp mực in thải có các TPNH 08 02 04 (rắn)
9- Dầu thuỷ lực tổng hợp thải 17 01 06 (lỏng)
10- Bao bì mềm thải 18 01 01 (rắn)
11-Các loại chất thải có các TPNH hữu cơ 19 12 02 (rắn)</t>
  </si>
  <si>
    <t>12/07/2024</t>
  </si>
  <si>
    <t>4, 11/07/2024</t>
  </si>
  <si>
    <t>Tên Mới Công ty TNHH INNI Home</t>
  </si>
  <si>
    <t>1- Chất hấp thụ, vật liệu lọc (bao gồm cả vật liệu lọc dầu chưa nêu tại các mã khác) , giẻ lau , vải bảo vệ thải bị nhiễm các thành18 02 01
2- Bóng đèn huỳnh quang và các loại thủy tinh hoạt tính thải 16 01 06 (rắn)
3- Các loại dầu động cơ, hộp số và bôi trơn 17 02 04
4 - Bao bì cứng thải bằng kim loại bao gồm cả bình chứa áp suất rỗng hoàn toàn 18 01 02 (rắn)
5- hộp mực in có các TPNH 08 02 04
6 - pin acquy chì thải  19 06 01
7 - Bùn thải có các TPNH từ quá trình xử lý nước thải  công nghiệp 12 06 05 (bùn)</t>
  </si>
  <si>
    <t>Số 14, Lô S, KCD Thương mại Uyên Hưng, phường Uyên Hưng, Tân Uyên, BD
Đại chỉ thu gom: Mỏ sét Tân Bình 1, xã Tân Bình, huyện Bắc Tân Uyên, Bình Dương</t>
  </si>
  <si>
    <t>CÔng ty TNHH Một thành viên Kukjin Vina</t>
  </si>
  <si>
    <t>ô B9.1, lô B9, đường D2, KCN KBS - Khu A, Huyện Bắc Tân Uyên, Tỉnh Bình Dương</t>
  </si>
  <si>
    <t xml:space="preserve">1- Bóng đèn huỳnh quang và các loại thủy tinh hoạt tính thải 16 01 06 (rắn)
2-Bao bì cứng thải bằng kim loại bao gồm cả bình chứa áp suất rỗng hoàn toàn 18 01 02 (rắn)
3-Bao bì cứng thải bằng nhựa 18 01 03 (rắn)
4-Chất hấp thụ, vật liệu lọc (bao gồm cả vật liệu lọc dầu chưa nêu tại các mã khác) , giẻ lau , vải bảo vệ thải bị nhiễm các thành phần nguy hại 18 02 01 (rắn)
5-Pin, ắc quy chì thải 19 06 01 (rắn)
6-Các loại dầu động cơ, hộp số và bôi trơn thải khác 17 02 04 (lỏng)
7-Hộp mực in thải có các TPNH 08 02 04 (rắn)
8-Bùn thải có chứa thành phần nguy hại từ quá trình xử lý nước thải công nghiệp khác 12 06 05 (bùn)
9-Chất thải có thành phần nguy hại từ hệ thống xử lý khí thải 04 02 03
10- Chất thải từ q/trình hồ vải có chứa DM hữu cơ thải 10 02 01
11-Phẩm màu và chất nhuộm thải chứa các TPNH thải 10 02 02
12- Dung dịch thải có chứa các thành phần nguy hại từ quá trình nhuộm 10 02 04
13- Bao bì mềm thải 18 01 01
14- Các loại chất thải khác có các thành phần nguy hại vô cơ và hữu cơ 19 12 03
</t>
  </si>
  <si>
    <t>29/07/2024</t>
  </si>
  <si>
    <t>PYC 29/07/2024</t>
  </si>
  <si>
    <t>30/07/2024</t>
  </si>
  <si>
    <t>30/06/2026</t>
  </si>
  <si>
    <t>30/06/2024</t>
  </si>
  <si>
    <t>01-Bao bì cứng thải bằng kim loại (Rắn) 18 01 02
02-Các loại dầu động cơ, hộp số và bôi trơn thải khác (Lỏng) 17 02 04
03-Bóng đèn huỳnh quang và các loại thủy tinh hoạt tính thải (Rắn) 16 01 06
04-Chất thải từ quá trình điều chế, cung ứng sử dụng sơn, vec ni; mực in và mực in, vụn sơn thải (Rắn/ Lỏng) 08 01 01
05-Hóa chất vô cơ và hữu cơ thải (Rắn/ Lỏng) 19 05 02
06-Chất hấp thụ, vật liệu lọc (bao gồm cả vật liệu lọc dầu chưa nêu tại các mã khác), giẻ lau, vải bảo vệ thải bị nhiễm các thành phần nguy hại (Rắn) 18 02 01
07-Bao bì cứng thải bằng nhựa	Rắn	18 01 03
08-Chất hấp thụ, vật liệu lọc (bao gồm cả vật liệu lọc dầu chưa nêu tại các mã khác), giẻ lau, vải bảo vệ thải bị nhiễm các thành phần nguy hại (Rắn) 8 02 01
09-Bao bì cứng thải bằng các vật liệu khác (composit, thủy tinh, …)(Rắn)  18 01 04</t>
  </si>
  <si>
    <t>02/08/2024</t>
  </si>
  <si>
    <t>30/06/2029</t>
  </si>
  <si>
    <t>20/07/2026</t>
  </si>
  <si>
    <t>Công ty TNHH sản xuất-Thương Mại-Dịch vụ Liên Hiệp
74.000.753.T</t>
  </si>
  <si>
    <t>2/8/2024</t>
  </si>
  <si>
    <t>0589/E, đường DT 746, Kp Hóa Nhựt, Tân Vĩnh Hiệp, tân uyên</t>
  </si>
  <si>
    <t>Công ty TNHH sản xuất-Thương Mại SÀI GÒN RIVER VN</t>
  </si>
  <si>
    <t>Nylon, carton, dây dai, mút xốp, gỗ vụn, giấy vụn, màng co, nhựa thải</t>
  </si>
  <si>
    <t>1- Giẻ lau dính sơn, dầu nhớt, hóa chất;  18 02 01(rắn)
2- Dầu nhớt thải 17 02 04(lỏng)
3- hóa chất thải bỏ 19 05 02(rắn)
4- Sơn thải 08 01 01(lỏng)
5- Hộp mực in thải 08 02 04(rắn)
6- Bóng đèn 16 01 06(rắn)
7- Ắc qui ,pin 19 06 01(rắn)
8-Bao bì mềm dính TPNH 18 01 01(rắn)
9 - Bột màu thải 19 03 01(rắn)
10- Bao bì kim loại dính TPNH 18 01 02(rắn)
11- Bao bì nhựa dính TPNH 18 01 03(rắn)</t>
  </si>
  <si>
    <t>30/06/2027</t>
  </si>
  <si>
    <t>06/08/2024</t>
  </si>
  <si>
    <r>
      <t xml:space="preserve">Công ty Cổ phần Khoáng Sản Và Xây Dựng Bình Dương
</t>
    </r>
    <r>
      <rPr>
        <b/>
        <sz val="14"/>
        <rFont val="Times New Roman"/>
        <family val="1"/>
      </rPr>
      <t>74.000.607.T</t>
    </r>
  </si>
  <si>
    <t>Thu gom: XN khai thác và chế biến đá Tân Mỹ, Thửa đất số 972, TBĐ 58, ấp 1, xã Tân Mỹ, huyện Bắc Tân Uyên, BD</t>
  </si>
  <si>
    <t>Rác công nghiệp:
1 -  nylon, dây đai, mút xốp, gỗ vụn, bụi điều, giẻ lau không dính thành phần nguy hại
2 - Dầu thực vật</t>
  </si>
  <si>
    <t>29/09/2026</t>
  </si>
  <si>
    <t>31/06/2026</t>
  </si>
  <si>
    <t>31/08/2025</t>
  </si>
  <si>
    <t>Công ty TNHH gỗ Liên Hợp</t>
  </si>
  <si>
    <t>15/08/2024</t>
  </si>
  <si>
    <t>1 -Bao bì mềm dính TPNH 18 01 01 (rắn)
2 - Giẻ lau, bao tay dính dầu nhớt, hóa chất keo thải 18 02 01 (rắn)
3 - Keo thải 08 03 01 (lỏng)
4 - Dầu nhớt thải 17 02 04 (lỏng)
5 - Tinh dàu nhớt 19 05 03 (lỏng)
6 - Bóng đèn huỳnh quang 16 01 06 (rắn)
7 - Hộp mực in 08 02 04 (rắn)
8 - Pin, ắc quy 19 06 01 (rắn)
9 - Bùn từ HTXLNT 12 06 05 (bùn)
10- Bao bì nhựa dính TPNH 18 01 03 (rắn)
11- Bao bì kim loại dính TPNH 18 01 02 (Rắn)</t>
  </si>
  <si>
    <t>25/08/2024</t>
  </si>
  <si>
    <t>Công ty cổ phần sản xuất Bao bì Hera</t>
  </si>
  <si>
    <t>16/08/2024</t>
  </si>
  <si>
    <t>20/08/2026</t>
  </si>
  <si>
    <t>17/08/2024</t>
  </si>
  <si>
    <t>31/07/2026</t>
  </si>
  <si>
    <t>17/08/2024`</t>
  </si>
  <si>
    <t>15/08/2027</t>
  </si>
  <si>
    <r>
      <t xml:space="preserve">01 lần/6tháng
</t>
    </r>
    <r>
      <rPr>
        <b/>
        <sz val="14"/>
        <rFont val="Times New Roman"/>
        <family val="1"/>
      </rPr>
      <t>6,12</t>
    </r>
  </si>
  <si>
    <t>01 lần/6tháng
6,12</t>
  </si>
  <si>
    <t>Tháng</t>
  </si>
  <si>
    <t>Ngày Nhân 
Hợp Đồng</t>
  </si>
  <si>
    <t>Hạn HĐ</t>
  </si>
  <si>
    <t>Ký Trước</t>
  </si>
  <si>
    <t>Tuàn 1</t>
  </si>
  <si>
    <t>Công Ty TNHH ME2 VINA</t>
  </si>
  <si>
    <t>PYC</t>
  </si>
  <si>
    <t>Nylon, dây đai, mút xốp, gỗ vụn, giấy vụn, nhựa thải, bao bì mềm thải.</t>
  </si>
  <si>
    <t>Công ty TNHH Fuji seal Việt Nam</t>
  </si>
  <si>
    <t>Số 5 Vsip 2a, đường 15, KCN Vsip 2a, Vĩnh Tân, Tân Uyên Bình Dương</t>
  </si>
  <si>
    <t>1	Bóng đèn huỳnh quang	Rắn	16 01 06
2	Giẻ lau dính dầu nhớt	Rắn	18 02 01
3	Dầu nhớt thải	Lỏng	17 02 04
4	Mực in thải	Rắn	08 02 01
5	Dung môi thải	Lỏng	08 02 03
6	Pin, ắc quy thải	Rắn	19 06 01
7	Hộp mực in thải	Rắn	08 02 04
8	Can, thùng thiếc đựng mực in thải, thùng sắt nhiễm thành phần nguy hại	Rắn	18 01 02
9	Bao nylon dính mực thải	Rắn	18 01 01
10	Bùn thải	Bùn	03 01 05</t>
  </si>
  <si>
    <t>Carton, nylon, dây đai, mút xốp, giấy vụn, màng PE đã in, màng nhựa, túi pouch, rác công nghiệp dính màng PE, nhựa thải.</t>
  </si>
  <si>
    <t>Số 219, đường ĐT 746, Ấp Bà Đã, Xã tân Định, Huyện Bắc tân Uyên,Tỉnh Bình Dương</t>
  </si>
  <si>
    <t>24/08/2024</t>
  </si>
  <si>
    <t>20/09/2026</t>
  </si>
  <si>
    <r>
      <t xml:space="preserve">Ấp 1, Khánh Bình, Tân Uyên, Bình Dương
</t>
    </r>
    <r>
      <rPr>
        <b/>
        <sz val="14"/>
        <rFont val="Times New Roman"/>
        <family val="1"/>
      </rPr>
      <t>Địa chỉ thu gom mới: số 254-769, tờ bản đồ số 15, KP Tân Bình, P tân Hiệp, Tp Tân Uyên, BD</t>
    </r>
  </si>
  <si>
    <t>1 -  Bao bì, thùng dính sơn, dung môi,dầu nhớt thải; 18 01 01 ( Rắn )
2 -  Giẻ lau dính dầu nhớt, dung môi, sơn thải; 18 02 01  ( Rắn )
3 - Dung môi thải; 17 08 03(lỏng)
4 -  Cặn sơn thải; 08 01 01 ( Rắn )
5 -  Dầu nhớt thải; 17 02 04(lỏng)
6 -  Bóng đèn huỳnh quang thải ; 16 01 06 ( Rắn )
7 -  Hộp mực in thải;  08 02 04 ( Rắn )
8 - Pin ắc quy chì 19 06 01 ( Rắn )
9- Dung môi thải 17 08 03 (lỏng)</t>
  </si>
  <si>
    <t>04/09/2024</t>
  </si>
  <si>
    <t>Công ty TNHH Một Thành Viên Sản Xuất Kiết Phong</t>
  </si>
  <si>
    <t>số 1792/12, đường ĐX05, khu phố Tân Hoá, phường Tân Vĩnh Hiệp, thành phố Tân Uyên, tỉnh Bình Dương</t>
  </si>
  <si>
    <t>Chất thải công nghiệp thông thướng: carton, nylon, dây đai, mút xốp, giấy vụn, vải vụn, nhựa thải, sợi nylon.</t>
  </si>
  <si>
    <t>4, 23/08/2024</t>
  </si>
  <si>
    <t>06/09/2024</t>
  </si>
  <si>
    <t>Lô 12, cụng công nghiệp Công ty cổ phần Thành phố đẹp, đường ĐT747B, Kp Ông Đông, phường Tân Hiệp, thành phố Tân Uyên, tỉnh Bình Dương, Việt Nam</t>
  </si>
  <si>
    <t>1 - Bao bì đựng hóa chất, thùng đựng dầu nhớt 18 01 01
2 - Giẻ lau dính dầu nhớt 18 02 01
3 - Dung môi thải 17 08 03
4 - Dầu nhớt thải 17 02 04
5 - Bóng đèn huỳnh quang thải 16 01 06
6 - Hộp mực in thải 08 02 04
7 - Pin, ắc quy chì thải 19 06 01
8 - Mực in thải 08 02 01
9 - Bùn thải từ hệ thống xử lý nước thải 12 06 05</t>
  </si>
  <si>
    <t>Công ty TNHH Kỹ Nghệ Longhi (Việt Nam)
74,002,695,T</t>
  </si>
  <si>
    <t>thùng</t>
  </si>
  <si>
    <t>1 - Bóng đèn huỳnh quang 16 01 06
2 - Pin, ắc quy  19 06 01
3 - Giẻ lau, bao tay dính (dầu nhớt, keo, sơn, dung môi thải) 18 02 01
4 - Bao bì mền thải 18 01 01 
5 - Cặn sơn thải, vecni thải có dung môi hữu cơ  08 01 01
6 - Hộp mực in thải 08 02 04
7 - Bùn thải thải lẫn sơn hoăc vecni thải 08 01 02
8 - Dung môi thải 17 08 03
9 - Các loại dầu động cơ, hộp số   17 02 04
10 - Mùn cưa phôi bào, đầu mẫu gỗ 09 01 01 09 01 01
11 - Chất kết dính  08 03 01
12- Bùn thải có các thành phần nguy hại 12 06 05
13 - Bao bì cứng bằng kim laoi5 18 01 02
14 - Bao bì cứng bằng nhựa 18 01 03
15 - Các loại chất thải khác có các thành phần nguy hại hữu cơ 19 12 02</t>
  </si>
  <si>
    <t>Công ty TNHH Thương mại và Dịch vụ Lâm Thanh</t>
  </si>
  <si>
    <t xml:space="preserve">1 - Can đựng dầu nhớt thải 18 01 03(rắn)
2 - Giẻ lau, găng tay dính dầu nhớt 18 02 01(rắn)
3 - Bóng đèn huỳnh quang thải 16 01 06(rắn)
4 - Dầu nhớt thải 17 02 04(lỏng)
5 - Hộp mực in thải 08 02 04(rắn)
6 - Pin, ắc quy chì thải 19 06 01(rắn)
8 - Bao bì kim loại dính thành phần nguy hại 18 01 02 (rắn)
9 - Bao bì nhựa dính thành phần nguym hại  18 01 03 (rắn)
</t>
  </si>
  <si>
    <t>CÔNG TY CỔ PHẦN KHU CÔNG NGHIỆP TÂN BÌNH</t>
  </si>
  <si>
    <t>1 ép lớn 8h gom</t>
  </si>
  <si>
    <t>19/08/2025</t>
  </si>
  <si>
    <t>12/09/2024</t>
  </si>
  <si>
    <t>Thửa đất số 1266, tờ bản đồ số 11, khu 3, xã Phú Chánh, Tp Tân Uyên, Tỉnh BD</t>
  </si>
  <si>
    <t>1 - Bùn thải từ hệ thống xử lý nước thải sản xuất; 12 06 05
2 - Các loại dầu động cơ, hộp số ; 17 02 04
3 -  Thùng kim loại đựng dầu nhớt, mực in; 18 01 02
4 -  Giẻ lau dính dầu nhớt, mực in; 18 02 01
5 -  Mực in thải; 08 02 01
6 -  Bao bì mền thải ; 18 01 01
7 -  Hộp mực in thải; 08 02 04
8 - Pin ắc quy chì thải;  19 06 01
9 - Bóng đèn huỳnh quang thải; 16 01 06
10 -  Rác thải y tế. 13 01 01
11 - Bùn mực in thải có chứa thành phần nguy hại 08 02 02</t>
  </si>
  <si>
    <t>1-Bóng đèn huỳnh quang và các loại thủy tinh hoạt tính thải 16 01 06 (rắn)
2-Bao bì cứng thải bằng nhựa 18 01 03 (rắn)
3- Giẻ lau , vải bảo vệ thải bị nhiễm các thành phần nguy hại 18 02 01 (rắn)
4-Pin, ắc quy chì thải 19 06 01 (rắn)
5-Các loại dầu động cơ, hộp số và bôi trơn thải khác 17 02 03 (lỏng)
6-Hộp mực in thải có các TPNH 08 02 04 (rắn)</t>
  </si>
  <si>
    <r>
      <t xml:space="preserve">01 lần/6tháng
</t>
    </r>
    <r>
      <rPr>
        <b/>
        <sz val="14"/>
        <rFont val="Times New Roman"/>
        <family val="1"/>
      </rPr>
      <t>6,12</t>
    </r>
    <r>
      <rPr>
        <sz val="14"/>
        <rFont val="Times New Roman"/>
        <family val="1"/>
      </rPr>
      <t xml:space="preserve">
</t>
    </r>
  </si>
  <si>
    <t xml:space="preserve">01 lần/6tháng
3,9
</t>
  </si>
  <si>
    <t>xe thùng, chuyến 1
Mang 2 bồn sắt
1 chuyến gom hết 1 buổi sáng</t>
  </si>
  <si>
    <t>13/09/2024</t>
  </si>
  <si>
    <t xml:space="preserve">Công ty TNHH Điện Tử Thông Minh TCL
</t>
  </si>
  <si>
    <t>1 - Bóng đèn huỳnh quang thải 16 01 06
2 - Pin, ắc quy chì thải 19 06 01
3 - Hộp mực in thải 08 02 04
4 - Chất hấp thụ , vật liệu lọc (bao gồm cả vật liệu lọc dầu chưa nêu tại các mã khác ), giẻ lau , vải bảo vệ thải bị nhiễm các thành phần nguy hại 18 02 01
5 - Các loại dầu động cơ, hộp số  17 02 04
6 - Dầu thủy lực thải 17 01 06
7 - Bao bì mền thải 18 01 01
8 - Bao bì cứng thải bằng kim loại bao gồm cả bình chứa áp suất đảm bảo rỗng hoàn toàn 18 01 02
9 - Bao bì cứng thải bằng nhựa 18 01 03
10 - Chất kết dính và chất bịt kín thải có dung môi hữu cơ  08 03 01 ( Rắn, lỏng)
11 -Các loại  Dung môi thải 17 08 03
12 - Thiết bị thải có các bộ phận, linh kiện điện tử 19 02 05
13 - Bùn thải từ hệ thống xử lý nước thải 12 06 05
14 - Que hàn thải 07 04 01
15 - Xỉ hàn có các kim loại nặng hoặc có các thành phần nguy hại 07 04 02
16 - Các thiết bị, linh kiện điện tử thải 19 02 06
17 - Các loại chất thải khác chứa thành phần nguy hại 19 12 03
18 - Chất thải y tế 13 01 01
19 - hỗn hợp dầu mỡ thải và chất béo độc hại từ quá trình phân tách dầu/ nước 12 06 04</t>
  </si>
  <si>
    <t>19/09/2024</t>
  </si>
  <si>
    <t>11/07/2025</t>
  </si>
  <si>
    <t>Bao bì giấy, nilon, dây đai, mút xốp, carton, giấy vụn, gỗ vụn</t>
  </si>
  <si>
    <t>1 - Cặn sơn, sơn và vecni thải có dung môi hữu cơ 08 01 01 ( Rắn, Lỏng)
2 - Bùn thải sơn hoăc vecni có dung môi các thành phần nguy hại 08 01 02 ( Bùn)
3 - Hộp mực in thải 08 02 04 ( Rắn)
4 - Chất kết dính và chất bịt kín thải 08 03 01 ( Lỏng)
5 - Bóng đèn huỳnh quang thải 16 01 06 ( Rắn)
6 - Các loại dầu động cơ, hộp số 17 02 04( Lỏng)
7 - Các loại dung môi 17 08 03( Lỏng)
8 - Bao bì mền thải 18 01 01( Rắn)
9 - Bao bì cứng thải bằng kim loại bao gồm cả bình chứa áp suất rỗng hoàn toàn 18 01 02 (rắn)
10 - Bao bì cứng bằng nhựa 18 01 03( Rắn)
11 - Chất hấp thụ, vật liệu lọc (bao gồm cả vật liệu lọc dầu chưa nêu tại các mã khác) , giẻ lau , vải bảo vệ thải bị nhiễm các thành phần nguy hại 18 02 01 (rắn)
Pin, ắc quy chì thải 19 06 01 (rắn)
12 - Pin, ắc quy chì thải 19 06 01( Rắn)
13 - Các loại chất thải khác có thành phần vô cơ và hữu cơ 19 12 03( Rắn)</t>
  </si>
  <si>
    <t>Ấp 1, Xã thường Tân, Bắc Tân Uyên, BD</t>
  </si>
  <si>
    <t>Địa chỉ thu gom: số 168, đường ĐT 747, ấp 1, Xã Hội Nghĩa, TX Tân Uyên, BÌnh Dương</t>
  </si>
  <si>
    <t>số 53, đường ĐT 741, tổ 9, ấp 3, Xã Tân Bình, Huyện Bắc tân Uyên, Tỉnh Bd</t>
  </si>
  <si>
    <t>20/06/26</t>
  </si>
  <si>
    <t>01 lần/2tháng
1,3,5,7,9,11
cty đã dời đi</t>
  </si>
  <si>
    <t>25/08/2025</t>
  </si>
  <si>
    <t>Công ty Cổ phần xây lắp -điện Biwase</t>
  </si>
  <si>
    <t>07/10/2024</t>
  </si>
  <si>
    <t>Công Ty TNHH Thực Nghiệp Quốc Bằng</t>
  </si>
  <si>
    <t>Nhà xưởng số 1, Lô 2D2, đường CN7 và CN10, KCN Tân Bình, TT Tân Bình, Huyện Bắc Tân Uyên, BD</t>
  </si>
  <si>
    <t>1- Mực in thải có các thành phần nguy hại 08 02 01
2- Bùn mực thải có các thành phần nguy hại 08 02 02
3- Hộp mực in thải có các thành phần nguy hại 08 02 04
4- Chất kết dính và chất bịt kín thải có dung môi hữu cơ hoặc các thành phần nguy hại khác 08 03 01
5- Bóng đèn huỳnh quang và các loại thủy tinh hoạt tính thải 16 01 06
6- Các loại dầu động cơ, hộp số và bôi trơn thải khác 17 02 04
7- Bao bì mềm thải 18 01 01
8- Bao bì cứng thải bằng kim loại bao gồm cả bình chứa áp suất bảo đảm rỗng hoàn toàn 18 01 03
9- Bao bì cứng thải bằng nhựa 18 01 03
10- Chất hấp thụ, vật liệu lọc (bao gồm cả vật liệu lọc dầu chưa nêu tại các mã khác) , giẻ lau , vải bảo vệ thải bị nhiễm các thành phần nguy hại 18 02 01 (rắn)
11- Pin, ắc quy chì thải 19 06 01</t>
  </si>
  <si>
    <t>04/10/2025</t>
  </si>
  <si>
    <t>Công Ty TNHH Một Thành Viên Lan Anh Bình Dương</t>
  </si>
  <si>
    <t>Số 38 đường ĐT 747, KP Cây Da, Phường Thạnh Phước, TU, BD</t>
  </si>
  <si>
    <t>1- Bóng đèn huỳnh quang và các loại thủy tinh hoạt tính thải 16 01 06 (rắn)
2- Pin, ắc quy chì thải 19 06 01 (rắn)
3- Bao bì cứng thải bằng nhựa dính dầu nhớt, keo 18 01 03
4-  Bao bì cứng thải bằng kim loại dính dầu nhớt, keo 18 01 02
5- Keo Thải 08 03 01
6- Bao bì mềm thải 18 01 01</t>
  </si>
  <si>
    <t>08/10/2024</t>
  </si>
  <si>
    <t>;20/07/2026</t>
  </si>
  <si>
    <t>Công Ty TNHH Yotrio Việt Nam</t>
  </si>
  <si>
    <t>Lô B, đường N6b, Cụm công nghiệp Phú Chánh 1, phường Phú Chánh, TP Tân Uyên, tỉnh Bình Dương VN</t>
  </si>
  <si>
    <t>1- Bùn thải có chứa thành phần nguy hại 12 06 05
2- Bóng đèn huỳnh quang và các loại thủy tinh hoạt tính thải 16 01 06 (rắn)
3- Bao bì cứng thải bằng nhựa 18 01 03
4- Bao bì mềm thải 18 01 01
5- Bao bì cứng thải bằng kim loại bao gồm cả bình chứa áp suất rỗng hoàn toàn 18 01 02 (rắn)
6- Chất hấp thụ, vật liệu lọc (bao gồm cả vật liệu lọc dầu chưa nêu tại các mã khác) , giẻ lau , vải bảo vệ thải bị nhiễm các thành phần nguy hại 18 02 01 (rắn)
7- Pin, ắc quy chì thải 19 06 01
8- Dầu nhớt thải 17 02 04
9- Cặn sơn, sơn, vecni thải có các thành phần dung môi hữu cơ hoặc các thành phần nguy hại khác 08 01 01 (lỏng/ Rắn)</t>
  </si>
  <si>
    <t>Nylon, dây đai, mút xốp, gỗ vụn, giấy vụn, nhựa thải, pallet gỗ vụn.</t>
  </si>
  <si>
    <t>Công Ty TNHH Gỗ Heng Yue</t>
  </si>
  <si>
    <t>1- Hộp mực in thải có các TPNH 08 02 04 (rắn)
2- Chất kết dính và chất bịt kín thải có dung môi hữu cơ hoặc các TPNH khác 08 03 01 (lỏng)
3- Bóng đèn huỳnh quang và các loại thủy tinh hoạt tính thải 16 01 06 (rắn)
4- Các loại dầu động cơ, hộp số và bôi trơn thải khác 17 02 04 (lỏng)
5- Bao bì mềm thải 18 01 01 (rắn)
6- Bao bì cứng thải bằng kim loại bao gồm cả bình chứa áp suất rỗng hoàn toàn 18 01 02 (rắn)
7- Bao bì cứng thải bằng nhựa 18 01 03
8- Chất hấp thụ, vật liệu lọc (bao gồm cả vật liệu lọc dầu chưa nêu tại các mã khác) , giẻ lau , vải bảo vệ thải bị nhiễm các thành phần nguy hại 18 02 01 (rắn)
9- Pin, ắc quy chì thải 19 06 01 (rắn)</t>
  </si>
  <si>
    <t>Số 12, đường D9X6-HN, Tổ 9, KP Hóa Nhựt, Tân Vĩnh Hiệp, Tân Uyên, Bình Dương</t>
  </si>
  <si>
    <t>01 lần/6 tháng
5,10</t>
  </si>
  <si>
    <t>09/10/2024</t>
  </si>
  <si>
    <t>10/07/2025</t>
  </si>
  <si>
    <t>02 lần/ tháng</t>
  </si>
  <si>
    <t>Công Ty TNHH Sơn Vi Na</t>
  </si>
  <si>
    <t>TĐS 61, TBĐ 25, KP Tân Bình, Phường Tân Hiệp, Tân Uyên, BD</t>
  </si>
  <si>
    <t>Carton, nylon, dây đai, mút xốp, gỗ vụn, giấy vụn, nhựa thải</t>
  </si>
  <si>
    <t>Theo yêu cầu
02 lần/ năm
tháng 10/2024; tháng 3/2025</t>
  </si>
  <si>
    <t xml:space="preserve"> '20/08/2026</t>
  </si>
  <si>
    <t>1 -Chất hấp thụ, vật liệu lọc (bao gồm cả vật liệu lọc dầu chưa nêu tại các mã khác) , giẻ lau , vải bảo vệ thải bị nhiễm các thành phần nguy hại 18 02 01 (rắn)
2 - Các loại dầu động cơ, hộ số và bôi trơn thải 17 02 04 ( Lỏng)
3- Hộp mực in thải có các TPNH 08 02 04 (rắn)
4 - Bóng đèn huỳnh quang và các loại thủy tinh hoạt tính thải 16 01 06 (rắn)
6 -Bao bì cứng thải bằng kim loại bao gồm cả bình chứa áp suất rỗng hoàn toàn 18 01 02 (rắn)
7 - Bao bì cứng bằng nhựa thải 18 01 03 Bsung( Rắn )
8 - Pin, ắc quy chì thải 19 06 01 bsung( Rắn )
9 - Các loại chất thải khác có tp nguy hại vô cơ và hữu cơ 19 12 03 bsung( Rắn )</t>
  </si>
  <si>
    <t>1 xe mang 4 bồn cắt</t>
  </si>
  <si>
    <t>xe thùng có bàn nâng</t>
  </si>
  <si>
    <t xml:space="preserve">01 lần/tháng
KV chỉnh theo yêu cầu
</t>
  </si>
  <si>
    <t>4. kv báo ngưng 16/10</t>
  </si>
  <si>
    <t>kv yêu cầu sửa tháng thu gom
16/10/2024</t>
  </si>
  <si>
    <t>1 - Axit thải 02 01 05(lỏng)
2-Bóng đèn huỳnh quang thải 16 01 06 (rắn) bs
3-Dầu động cơ, dầu hộp số và bôi trơn tổng hợp thải 17 02 03(lỏng) bs
4-Pin, ắc quy chì thải 16 01 12 (rắn) bs
5-Dầu thải 17 02 04(lỏng)bs
6-Hộp mực in thải 08 02 04 (rắn) bs
7-Vật liệu cách nhiệt thải 11 06 01 (rắn) bs
8-Bao bì đựng hoá chất thải 18 01 01(rắn)bs
9-Vật liệu lọc, giẻ lau, vải bảo vệ thải bị nhiễm các thành phần nguy hại 18 02 01 (rắn)bs
10-Bụi từ hệ thống xử lý khí thải 05 02 06(rắn)bs
11-Tro xỉ sinh ra từ công đoạn xử lý nhôm (sau hoàn nguyên) 05 02 03 (rắn)bs
12- Bùn thải có chứa thành phần nguy hại 12 06 05 (BS)</t>
  </si>
  <si>
    <t>4. phiếu ngưng nhận 18/10/2024</t>
  </si>
  <si>
    <t>BĐS Hoàng gia Phát</t>
  </si>
  <si>
    <t>PN nhận 18/10/2024</t>
  </si>
  <si>
    <t>'19/10/2024</t>
  </si>
  <si>
    <t>số 23, vsip Ii-A, đường số 26, KCN VN - Singapore II-A, P. Vĩnh Tân, Tp Tân Uyên,Tỉnh Bình Dương</t>
  </si>
  <si>
    <t>Công Ty CP Xây Dựng CBC</t>
  </si>
  <si>
    <t>176A Trần Kế Xương, Q Phú Nhuận, TP HCM
địa chỉ thu gom: Công trình của Công Ty CP Xây Dựng CBC ( số 16 đường 31 KCN Vsip 2A, Tân Bình, Bắc Tân Uyên,BD)</t>
  </si>
  <si>
    <t>1- Chất thải lây nhiễm 13 01 01
2- Bóng đèn huỳnh quang thải 16 01 06
3- Hộp mực in thải có các thành phần nguy hại 08 02 04
4- Pin, ắc qui thải 16 01 12
5- Giẻ lau nhiễm thành phần nguy hại 18 02 01
6- Dầu động cơ, hộp số và bôi trơn tổng hợp thải 17 02 03
7- Bao bì cứng thải bằng kim loại 18 01 01
8- Bao bì cứng thải bằng nhựa 18 01 02
9- Bao bì mềm thải 18 01 01</t>
  </si>
  <si>
    <t>02 lần/ năm
01/2025 và 07/2025</t>
  </si>
  <si>
    <t>19/10/2024</t>
  </si>
  <si>
    <t>16/09/2025</t>
  </si>
  <si>
    <r>
      <t>Chi nhánh Công ty Cổ Phần Ba Huân - Trang Trại Bình Dương (</t>
    </r>
    <r>
      <rPr>
        <b/>
        <sz val="14"/>
        <rFont val="Times New Roman"/>
        <family val="1"/>
      </rPr>
      <t>KP 4, Vĩnh Tân, Tân Uyên, Bình Dương)</t>
    </r>
  </si>
  <si>
    <r>
      <t xml:space="preserve">Chi nhánh Công ty Cổ Phần Ba Huân - Trang Trại Bình Dương
</t>
    </r>
    <r>
      <rPr>
        <b/>
        <sz val="14"/>
        <rFont val="Times New Roman"/>
        <family val="1"/>
      </rPr>
      <t>địa chỉ thu gom: KP 4, Vĩnh Tân, Tân Uyên, Bình Dương</t>
    </r>
  </si>
  <si>
    <r>
      <rPr>
        <b/>
        <sz val="14"/>
        <rFont val="Times New Roman"/>
        <family val="1"/>
      </rPr>
      <t xml:space="preserve">Chất thải công nghiệp: </t>
    </r>
    <r>
      <rPr>
        <sz val="14"/>
        <rFont val="Times New Roman"/>
        <family val="1"/>
      </rPr>
      <t>Tro trấu, xơ dừa, bao bì giấy, nilon, dây dai, mút xốp, cám thức ăn</t>
    </r>
  </si>
  <si>
    <t>01 lần/ tháng kv đổi 2 lần</t>
  </si>
  <si>
    <t>2. kv báo bỏ lịch</t>
  </si>
  <si>
    <t>4.23/10/2024</t>
  </si>
  <si>
    <t>7.23/10/2024</t>
  </si>
  <si>
    <t>Theo yêu cầu
kv ngưng 23/10/2024</t>
  </si>
  <si>
    <t>Thửa đất số 1125, tờ bản đồ số 34, Kp Khánh Bình, Phường Khánh Bình, TP Tân Uyên, Tỉnh Bình Dương</t>
  </si>
  <si>
    <t>1 -Chất hấp thụ, vật liệu lọc (bao gồm cả vật liệu lọc dầu chưa nêu tại các mã khác) , giẻ lau , vải bảo vệ thải bị nhiễm các thành phần nguy hại 18 02 01 (rắn)
2 - Các loại dầu động cơ, hộp số và bôi trơn thải khác 17 02 04 (lỏng)
3 -Bóng đèn huỳnh quang và các loại thuỷ tinh hoạt tính thải 16 01 06</t>
  </si>
  <si>
    <t>20/09/26</t>
  </si>
  <si>
    <t>24/10/2024</t>
  </si>
  <si>
    <t>27/10/2024</t>
  </si>
  <si>
    <t>Chi Nhánh Công Ty TNHH Thương Mại Và Dịch Vụ Xuất Nhập Khẩu Liên Minh - Tại Bình Dương</t>
  </si>
  <si>
    <t>Lô 2L1, 2L2, Đường CN2, và CN5, KCN Tân Bình, Bắc Tân Uyên, BD</t>
  </si>
  <si>
    <t>Chất thải hầm cầu</t>
  </si>
  <si>
    <t>03/05/2026</t>
  </si>
  <si>
    <t>01 lần/ tháng</t>
  </si>
  <si>
    <t>Khu phố Bà tri, Phường tân Hiệp, Tân Uyên, BD</t>
  </si>
  <si>
    <r>
      <t xml:space="preserve">01 lần/ 2tháng
</t>
    </r>
    <r>
      <rPr>
        <b/>
        <sz val="14"/>
        <rFont val="Times New Roman"/>
        <family val="1"/>
      </rPr>
      <t>2,4,6,8,10,12</t>
    </r>
  </si>
  <si>
    <t>29/10/2024</t>
  </si>
  <si>
    <r>
      <t>01 lần/6tháng
12</t>
    </r>
    <r>
      <rPr>
        <b/>
        <sz val="14"/>
        <rFont val="Times New Roman"/>
        <family val="1"/>
      </rPr>
      <t>/2024,
06/2025</t>
    </r>
  </si>
  <si>
    <t>1 - Chất hấp thụ, vật liệu lọc (bao gồm cả vật liệu lọc dầu chưa nêu tại các mã khác) , giẻ lau , vải bảo vệ thải bị nhiễm các thành phần nguy hại 18 02 01 (rắn)
2 -  Hộp mực in thải; 08 02 04 ( Rắn )
3 -  Pin ắc quy chì thải; 19 06 01 ( Rắn )
4 -  Bóng đèn huỳnh quang thải; 16 01 06 ( Rắn )
5 -  Dầu động cơ, hộp số và bôi trơn tổng hơp thải; 17 02 04(lỏng)
6 -Bao bì cứng thải bằng nhựa; 18 01 03 ( Rắn )
7 -  Bao bì cứng thải bằng kim loại bao gồm cả bình chứa áp suất rỗng hoàn toàn 18 01 02 (rắn)
8 - Các loại dung môi và hỗn hợp chất thải khác 17 08 03(lỏng)
9 - Cặn sơn, sơn, vecni thải có các thành phần dung môi hữu cơ hoặc các thành phần nguy hại khác 08 01 01 (lỏng)
10 -  Chất thải từ quá trình cạo, bóc tách sơn; 08 01 03 ( Rắn )
11 -  Hóa chất hữu cơ thải bao gồm hoặc các tp nguy hại 19 05 04 ( Rắn )
12 - Bùn từ hệ thống xử lý nước thải 12 06 05 Bsung(bùn)
13 - Than hoạt tính 12 01 04  ( Rắn )</t>
  </si>
  <si>
    <t>KP Ông Đông, P Tân Hiệp, Tp Tân Uyên, BD</t>
  </si>
  <si>
    <t>Công ty Cổ phần Kỹ thuật và Thương mại H.T.G</t>
  </si>
  <si>
    <t>Công trình của Công ty Cổ phần Kỹ thuật và Thương mại H.T.G (Địa chỉ: số 16 đường số 31, KCN Việt Nam - Singapore II-A, phường Vĩnh Tân, Thành phố Tân Uyên, Thị trấn Tân Bình, Huyện Bắc Tân Uyên, Tỉnh Bình Dương)</t>
  </si>
  <si>
    <t>01	Chất thải lây nhiễm	Rắn	13 01 01
02	Bóng đèn huỳnh quang thải	Rắn	16 01 06
03	Hộp mực in thải có các thành phần nguy hại	Rắn	08 02 04
04	Pin, Ắc qui thải	Rắn	16 01 12
05	Giẻ lau nhiễm thành phần nguy hại	Rắn	18 02 01
06	Dầu động cơ, hộp số và bôi trơn tổng hợp thải	Rắn	17 02 03
07	Bao bì cứng thải bằng kim loại	Rắn	18 01 02
08	Bao bì cứng thải bằng nhựa	Rắn	18 01 03
09	Bao bì mềm thải	Rắn	18 01 01</t>
  </si>
  <si>
    <t>theo yêu cầu
04 lần/ năm
1,4,7,10/2025</t>
  </si>
  <si>
    <t>\31/10/2024</t>
  </si>
  <si>
    <t>10/10/2025</t>
  </si>
  <si>
    <t>Carton, nylon, dây đai, mút xốp, giấy vụn, xà bần, nhựa vụn, bao xi măng</t>
  </si>
  <si>
    <t>Công Ty TNHH MTV Sản Xuất - Thương Mại - Dịch Vụ Biwase</t>
  </si>
  <si>
    <t>808 Lý Thái Tổ, Khu 2, P. Phú Tân, TDM, BD</t>
  </si>
  <si>
    <t>01 lần/ 3 tháng
3,6,9,12</t>
  </si>
  <si>
    <t>Bùn, cặn từ quá trình rửa vỏ bình</t>
  </si>
  <si>
    <t>Công Ty TNHH Vật Liệu Giày Và Cao Su Silicone Tam Hưng</t>
  </si>
  <si>
    <t>Số 392, đường KB05, Khánh Tân, Khánh Bình, Tân Uyên, BD</t>
  </si>
  <si>
    <t>Nilon, dây đai, mút xốp, giấy vụn, vải vụn, chỉ vụn</t>
  </si>
  <si>
    <t>mới</t>
  </si>
  <si>
    <t>01 lần/ 2 tháng
1,3,5,7,9,11</t>
  </si>
  <si>
    <t>03/11/2024</t>
  </si>
  <si>
    <t>KP8, Uyên Hưng, Tân Uyên, BD</t>
  </si>
  <si>
    <t>'03/11/2024</t>
  </si>
  <si>
    <t>số 8A, Vsip II-A, Đường số 24, KCN VN - Singapore II-A, Phường Vĩnh Tân, Tp tân Uyên, BD</t>
  </si>
  <si>
    <t>20/10/2026</t>
  </si>
  <si>
    <t>Tổ 6, khu 5, Phường Uyên Hưng, Tân Uyên, Bình Dương</t>
  </si>
  <si>
    <t>05/11/2024</t>
  </si>
  <si>
    <t>'05/11/2024</t>
  </si>
  <si>
    <t>1 - Thùng đựng dầu nhớt 18 01 02(rắn)
2 - Dầu bôi trơn 17 02 04(lỏng)
3 - Dầu thủy lực thải 17 01 07(lỏng)
4 - Dầu tuần hoàn, dầu chống gỉ thải 17 07 03(lỏng)
5 -  XỈ hợp kim kẽm, chì thải 05 07 01(rắn)
6 - Giẻ lau, bao tay dính dầu nhớt, keo thải  18 02 01(rắn)
7 - Kim loại dính dầu thải 11 04 02(rắn)
8 - Bóng đèn huỳnh quang thải 16 01 06(rắn)
9 - Pin, ắc quy chì thải 19 06 01(rắn)
10 - Hộp mực in thải 08 02 04(rắn)
11 - Bazơ thải 07 01 03(lỏng)
12 - Tấm lộc dầu, bộ lộc dầu 18 02 01(rắn)</t>
  </si>
  <si>
    <t>1 -  Dung dịch có chứa TPNH (dung dịch rửa bản in) 08 02 01(lỏng)</t>
  </si>
  <si>
    <t>20/04/26</t>
  </si>
  <si>
    <t>1 - Hộp mực in thải 08 02 04(rắn)
2 - Bùn thải từ quá trình xử lý nước thải 12 06 05(bùn)
3 - Bóng đèn huỳnh quang và các loại thủy tinh hoạt tính 16 01 06(rắn)
4 - Dầu thủy lực thải 17 01 06(lỏng)
5 - Dầu động cơ, hộp số và bôi trơn thải 17 02 04(lỏng)
6 - Bao bì mền thải 18 01 01(rắn)
7 - Bao bì cứng bằng kim loại 18 01 02(rắn)
8 - Chất hấp thụ, vật liệu lộc, giẻ lau vải bảo vệ nhiễm TPNH 18 02 01(rắn)
9 - Pin, ắc quy chì thải 19 06 01(rắn)
10 - Các chất thải có chứa thành phần vô cơ, hữu cơ 19 12 03(rắn)
11- Bao bì cứng bằng nhựa 18 01 03 (rắn)</t>
  </si>
  <si>
    <t>Gỗ phế thải, cao su phế thải, tấm mút thải, thùng xốp, tấm lọc kim loại, giáy thải không thể tái chế và bán, dây đai nhựa PP, seal giấy, màng nilon không thẻ tái chế và bán</t>
  </si>
  <si>
    <t>Công Ty TNHH Vượng Doanh</t>
  </si>
  <si>
    <t>Đường số 11, KCN Vsip 2A, Tân Uyên, BD</t>
  </si>
  <si>
    <t>Carton, nilon, dây đai, mút xốp, gỗ vụn, nhựa thải, giấy vụn</t>
  </si>
  <si>
    <t>14/11/2024</t>
  </si>
  <si>
    <t>01 lần/tháng
1,3,5,7,9,11</t>
  </si>
  <si>
    <t>18/11/2024</t>
  </si>
  <si>
    <t>Nilon, dây đai, mút xốp, giấy vụn, vải vụn, chỉ vụn, hạt nhựa</t>
  </si>
  <si>
    <t>4. tahnh lý</t>
  </si>
  <si>
    <t>số 3A, Vsip II-A, đường số 24, khu công nghiệp Việt Nam – Singapore II-A, phường Vĩnh Tân, thành phố Tân Uyên, tỉnh Bình Dương</t>
  </si>
  <si>
    <t>01	Chất kết dính và chất bịt kín thải có dung môi hữu cơ hoặc các thành phần nguy hại khác	Rắn	08 03 01
02	Hộp mực in thải có các thành phần nguy hại	Rắn	08 02 04
03	Bóng đèn huỳnh quang và các loại thuỷ tinh hoạt tính thải	Rắn	16 01 06
04	Bùn thải có các thành phần nguy hại từ các quá trình xử lý nước thải công nghiệp khác	Bùn	12 06 05
05	Các loại dầu động cơ, hộp số và bôi trơn thải khác	Lỏng	17 02 04
06	Mực in thải có các thành phần nguy hại	Rắn/ Lỏng	08 02 01
07	Bao bì cứng thải bằng kim loại bao gồm cả bình chứa áp suất bảo đảm rỗng hoàn toàn	Rắn	18 01 02
08	Các loại dung môi hữu cơ và hỗn hợp dung môi thải khác	Lỏng	17 08 03
09	Chất hấp thụ, vật liệu lọc (bao gồm cả vật liệu lọc dầu chưa nêu rại các mã khác), giẻ lau, vải bảo vệ thải bị nhiễm các thành phần nguy hại	Rắn	18 02 01
10	Pin, ắc quy chì thải	Rắn	19 06 01</t>
  </si>
  <si>
    <t>21/11/2024</t>
  </si>
  <si>
    <t>02/07/2026</t>
  </si>
  <si>
    <t>Lô P3, đường D7-N10, KCN Nam Tân Uyên, Phường Khánh Bình, Tp Tân Uyên, Bình Dương</t>
  </si>
  <si>
    <t>Lô P3, đường D7-N10, KCN Nam Tân Uyên, Phường Khánh Bình, TP Tân Uyên, Bình Dương</t>
  </si>
  <si>
    <t>Thửa đất số 246, tờ bản đồ số 4, KP Cây Chàm, P Thạnh Phước, TP Tân Uyên, BD</t>
  </si>
  <si>
    <t xml:space="preserve">Lô A, đường N6B, cụm công nghiệp Phú Chánh , phương Phú Chánh, Tân Uyên Bình Dương </t>
  </si>
  <si>
    <t>1- Hộp mực in thải có các TPNH 08 02 04 (Rắn)
2- Chất hấp thụ, vật liệu lọc (bao gồm cả vật liệu lọc dầu chưa nêu tại các mã khác) , giẻ lau , vải bảo vệ thải bị nhiễm các thành phần nguy hại 18 02 01 (rắn)
3- Bụi khí thải có chứa các TPNH 05 03 03
4- Bóng đèn huỳnh quang và các loại thủy tinh hoạt tính thải 16 01 06 (rắn)
5- Than hoạt tính thải 12 01 04
6- Bao bì cứng thải bằng kim loại bao gồm cả bình chứa áp suất rỗng hoàn toàn 18 01 02 (rắn)
7- Cặn sơn, sơn, vecni thải có các thành phần dung môi hữu cơ hoặc các thành phần nguy hại khác 08 01 01 (lỏng)</t>
  </si>
  <si>
    <t>thửa đất số 113-753, tờ bản đố số 01-02, Đường ĐT 747 B, Tổ 7, KP Phước th, P Thái Hòa, Tân uyên, BD</t>
  </si>
  <si>
    <t>ngưng 21/11/2024</t>
  </si>
  <si>
    <t>\21/11/2024</t>
  </si>
  <si>
    <r>
      <t xml:space="preserve">01 lần/6tháng
</t>
    </r>
    <r>
      <rPr>
        <b/>
        <sz val="14"/>
        <rFont val="Times New Roman"/>
        <family val="1"/>
      </rPr>
      <t>1,7</t>
    </r>
    <r>
      <rPr>
        <sz val="14"/>
        <rFont val="Times New Roman"/>
        <family val="1"/>
      </rPr>
      <t>/2025</t>
    </r>
  </si>
  <si>
    <t>23/11/2024</t>
  </si>
  <si>
    <t>01/12/2025</t>
  </si>
  <si>
    <t>27/11/2024</t>
  </si>
  <si>
    <t>TĐS 723, 724,725, TBĐ số 13, Tân Phước Khánh 8, Tổ 4, Khánh Hội, Tân Phước Khánh, Tân Uyên, BD</t>
  </si>
  <si>
    <t>Công ty Cổ Phần Thương Mại – Chế Biến Gỗ Xuất Nhập Khẩu Ngọc Nga</t>
  </si>
  <si>
    <t>Chất thải hầm cầu, bùn thải bể tự hoại</t>
  </si>
  <si>
    <t>02 lần/ năm 
12/2024 và 06/2025
theo yêu cầu</t>
  </si>
  <si>
    <t>03/12/2024</t>
  </si>
  <si>
    <t>30/11/2025</t>
  </si>
  <si>
    <t>5. ngưng 03/12/2024</t>
  </si>
  <si>
    <t>4. ngưng 03/12/2024</t>
  </si>
  <si>
    <t>4.03/12/2024</t>
  </si>
  <si>
    <t>Công ty TNHH Nhựa Lộc PHát</t>
  </si>
  <si>
    <t>1 - Thùng kim loại đựng dầu nhớt, hóa chất, bột màu thải 18 01 02(rắn)
2 - Giẻ lau, bao tay dính dầu nhớt, hóa chất, mực in 18 02 01(rắn)
3 - Thùng nhựa đựng hóa chất thải 18 01 03(rắn)
4 - Dầu nhớt thải 17 02 04(lỏng)
5 - Bóng đèn huỳnh quang thải. 16 01 06(rắn)
6 - Pin, ắc quy chì thải 19 06 01(rắn)
7 - Hộp mực in thải 08 02 04(rắn)
8- Mực in, chất thải từ in ấn (lỏng) 08 02 01
9- Than hoạt tính đã qua sử dụng từ quá trình xử lý khí thải 12 01 04
10- Bao bì mềm thải 18 01 01
11- Bụi khí thải có chứa thành phần nguy hại 05 03 03</t>
  </si>
  <si>
    <t>ĐT 747A, tổ 5, KP 7, P Uyên Hưng, Tp Tân Uyên, BD</t>
  </si>
  <si>
    <t xml:space="preserve">1 - Chất hấp thụ, vật liệu lọc (bao gồm cả vật liệu lọc dầu chưa nêu tại các mã khác) , giẻ lau , vải bảo vệ thải bị nhiễm các thành phần nguy hại 18 02 01 (rắn)
2 - Các loại dầu động cơ, hộp số và bôi trơn thải khác 17 02 04 (lỏng)
3 - Bóng đèn huỳnh quang và các loại thủy tinh hoạt tính thải 16 01 06 (rắn)
4 - Cặn sơn thải 07 01 01
</t>
  </si>
  <si>
    <t>Công ty TNHH Sản Xuất Top Strength Việt Nam</t>
  </si>
  <si>
    <t>lô D, đường N5-D3, cụm CN Phú Chánh 1, phường Phú Chánh, thành phố Tân Uyên, tỉnh Bình Dương</t>
  </si>
  <si>
    <t>01	Bùn thải nghiền, mài có dầu	Bùn	07 03 09
02	Phôi từ quá trình gia công tạo hình hoặc vật liệu bị mài ra lẫn dầu, nhũ tương hay dung dịch thải có dầu hoặc các thành phần nguy hại khác	Rắn	07 03 11
03	Cặn sơn, sơn và véc ni thải có dung môi hữu cơ hoặc các thành phần nguy hại khác	Rắn/ Lỏng	08 01 01
04	Hộp mực in thải có các hành phần nguy hại	Rắn	08 02 04
05	Bóng đèn huỳnh quang và các loại thủy tinh hoạt tính thải	Rắn	16 01 06
06	Dầu thủy lực tổng hợp thải	Lỏng	17 01 06
07	Dầu động cơ, hộp số và bôi trơn tổng hợp thải	Lỏng	17 02 04
08	Bao bì mềm thải	Rắn	18 01 01
09	Bao bì cứng thải bằng kim loại, bao gồm cả bình chứa áp suất bảo đảm rỗng hoàn toàn	Rắn	18 01 02
10	Bao bì cứng thải bằng nhựa	Rắn	18 01 03
11	Chất hấp thụ, vật liệu lọc (bao gồm cả vật liệu lọc dầu chưa nêu tại các mã khác), giẻ lau, vải bảo vệ thải bị nhiễm các thành phần nguy hại	Rắn	18 02 01
12	Pin, ắc quy chì thải	Rắn	19 06 01</t>
  </si>
  <si>
    <t>Công ty TNHH 2002</t>
  </si>
  <si>
    <t>05/12/2024</t>
  </si>
  <si>
    <t>20/11/2026</t>
  </si>
  <si>
    <t>Rác công nghiệp không dính thành phần nguy hại : Giấy vụn, carton, gỗ vụn, dây đai, nilon, mút xốp</t>
  </si>
  <si>
    <t>Thửa đất số 16, tờ bản đồ số 07,11,tổ 4, KP Bình Hòa 1, P Tân Phước Khánh, TU, BD</t>
  </si>
  <si>
    <t>01 lần/tháng
2,4,6,8,10,12</t>
  </si>
  <si>
    <t>TĐS 604, TBĐS 08, Tổ 1, Kp Phước Hải, phường Thái Hoà, Tp Tân Uyên, tỉnh Bình Dương</t>
  </si>
  <si>
    <t>1000k</t>
  </si>
  <si>
    <t>Công ty TNHH Giấy Đặc Chủng Tuoda
74.001.301.T</t>
  </si>
  <si>
    <t>01	Bùn thải		 120605  (Rắn)
02	Bóng đèn huỳnh quang thải	Rắn	160106
03	Giẻ lau, bao tay dính dầu nhớt, hóa chất thải	Rắn	180201
04	Pin ắc quy chì thải	Rắn	190601
05	Hóa chất và hỗn hợp hóa chất thải PTN có thành phần nguy hại	Lỏng	190502
06	Bao bì đựng hóa chất thải PTN bằng thủy tinh	Rắn	180104
07	Bao bì mềm đựng hóa chất	Rắn	180101
08	Dầu mỡ thải từ hệ thống tách dầu của hệ thống XLNT	Lỏng	120604
09	Thùng can nhựa dính thành phần nguy hại	Rắn	180103</t>
  </si>
  <si>
    <t>5. '10/12/2024</t>
  </si>
  <si>
    <t>5.10/12/2024</t>
  </si>
  <si>
    <t>'10/12/2024</t>
  </si>
  <si>
    <t>Mút xốt, dây dai nhựa, bao bì, giấy vụn, gỗ vụn, nilon, vải vụn</t>
  </si>
  <si>
    <t xml:space="preserve">1 - Chai, bao bì đựng dầu tẩy cứng bằng kim loại 18 01 02
2 - Kim, bông băng, gạc y tế có chứa thành phần nguy hại 13 01 01
3 - Bóng đèn huỳnh quang thải 16 01 06
4 - Giẻ lau 18 02 01
5 - Dầu máy thải 17 02 04
6 - Pin thải 19 06 01
7 - Hộp mực thải 08 02 04
8 - Bao bì, chay cứng thải bằng nhựa 18 01 03
9 - Thiết bị thải có các bộ phận, linh kiện điện tử thải 19 02 05
10 - Các loại chất thải khác, chứa thành phần nguy hại 19 05 02
</t>
  </si>
  <si>
    <t>Công ty TNHH Một Thành Viên Vô Song
74.002.557T</t>
  </si>
  <si>
    <t>Số 15 Vsip II-A, đường số 25, KCN VN - Singapore II-A, Phường Vĩnh tân, Tp tân Uyên, Bình Dương</t>
  </si>
  <si>
    <t xml:space="preserve">Chất thải công nghiệp thông thường: Nylon, dây đai, mút xốp, giấy vụn, gỗ vụn, nhựa thải </t>
  </si>
  <si>
    <t>Công ty TNHH Clivia Coating (Việt Nam)</t>
  </si>
  <si>
    <t>1		Cặn sơn, sơn, vecni thải có các thành phần dung môi hữu cơ hoặc các thành phần nguy hại khác	Rắn/lỏng	08 01 01
2		Huyền phù nước thải lẫn sơn hoặc vecni có dung môi hữu cơ hoặc các thành phần nguy hại khác	Lỏng	08 01 04
3		Hộp mực in thải có các TPNH	Rắn	08 02 04
4		Bóng đèn huỳnh quang và các loại thủy tinh hoạt tính thải	Rắn	16 01 06
5		Các loại dầu động cơ, hộp số và bôi trơn thải khác	Lỏng	17 02 04
6		Bao bì mềm 	Rắn	18 01 01 
7		Bao bì cứng thải bằng kim loại bao gồm cả bình chứa áp suất rỗng hoàn toàn	Rắn	18 01 02
8		Bao bì cứng thải bằng nhựa	Rắn	18 01 03
9		Chất hấp thụ, vật liệu lọc (bao gồm cả vật liệu lọc dầu chưa nêu tại các mã khác) , giẻ lau , vải bảo vệ thải bị nhiễm các thành phần nguy hại	Rắn	18 02 01
10		Pin, ắc quy chì thải	Rắn	19 06 01
11		Các loại chất thải khác có các thành phần nguy hại hữu cơ	Rắn	19 12 02
12		Các loại dung môi và hỗn hợp dung môi thải khác	Lỏng	17 08 03
13		Than hoạt tính đã qua sử dụng từ quá trình xử lý khí thải	Rắn	12 01 04</t>
  </si>
  <si>
    <t>Công ty TNHH Ngành Giấy Kim Phong</t>
  </si>
  <si>
    <t>Lô A, đường N6-D1, khu công nghiệp Nam Tân Uyên, Phường Khánh Bình, Thành phố Tân Uyên, Tỉnh Bình Dương, Việt Nam</t>
  </si>
  <si>
    <t>Nilon, dây đai, mút xốp, giấy vụn, chỉ vụn, tro thải từ quá trình đốt củi</t>
  </si>
  <si>
    <t>01 lần/ 2 tháng
2,4,6,8,10,12</t>
  </si>
  <si>
    <t>12/12/2024 N</t>
  </si>
  <si>
    <t>'12/12/2024 N</t>
  </si>
  <si>
    <t>7.'12/12/2024 N</t>
  </si>
  <si>
    <t>4.'12/12/2024 N</t>
  </si>
  <si>
    <t>13/12/2024</t>
  </si>
  <si>
    <t>1 - Nylon, dây đai, mút xốp, giấy vụn, gỗ vụn, nhựa thải</t>
  </si>
  <si>
    <t>20/10/26</t>
  </si>
  <si>
    <t>18/12/2024</t>
  </si>
  <si>
    <t>1 xe thùng vừa riêng</t>
  </si>
  <si>
    <t>TĐS 538, TBĐ số 13, đường ĐX 03, tổ 8, KP Tân Hoá, Tân Vĩnh Hiệp, Tân Uyên, BD</t>
  </si>
  <si>
    <t>21/12/2024</t>
  </si>
  <si>
    <t>Lô K4, đường N4, KCN Nam Tân Uyên Mở Rộng, Tp Tân Uyên, Tỉnh BD</t>
  </si>
  <si>
    <t>kv k qua ký lịch</t>
  </si>
  <si>
    <t>KV không qua ký lịch, không thanh lý hđ củ</t>
  </si>
  <si>
    <t>Hợp Tác Xã Nhân Đức</t>
  </si>
  <si>
    <t>Tổ 02 ấp Cây Dâu, Xã Hiếu Liêm, Huyện Bắc Tân Uyên, Tỉnh Bình Dương, Việt Nam</t>
  </si>
  <si>
    <t>01	Chất thải có chứa các tác nhân lây nhiễm từ hoạt động thú y (kim tiêm, bông băng dính máu)	Rắn	13 02 01 
02	Bóng đèn huỳnh quang	Rắn	16 01 06 
03	Hộp mực in thải	Rắn	08 02 04
04	Giẻ lau dính dầu nhớt	Rắn	18 02 01
05	Pin, ắc quy thải	Rắn	19 06 01
06	Bao bì cứng thải bằng các vật liệu khác (composit, vỏ thuốc thú y)	Rắn	18 01 04</t>
  </si>
  <si>
    <t>02 lần/ năm
05/2025 ; 11/2025</t>
  </si>
  <si>
    <t>27/12/2024</t>
  </si>
  <si>
    <t>23/12/2025</t>
  </si>
  <si>
    <t>Số 219, đường ĐT 746, Ấp Bà Đã, xã Tân Định, Huyện Bắc Tân Uyên, tỉnh Bình Dương, Việt Nam, Việt Nam</t>
  </si>
  <si>
    <t>Bao bì nylon thải, giấy và bao bì giấy các tông thải, tro phát sinh từ hệ thống lò hơi</t>
  </si>
  <si>
    <t>02 lần/ năm
04/2025 ; 10/2025</t>
  </si>
  <si>
    <t>12/12/2025</t>
  </si>
  <si>
    <t>6. kv báo k có ký hđ</t>
  </si>
  <si>
    <t>Công ty Cổ Phần BestMix</t>
  </si>
  <si>
    <t>Lô D1, Đường D1&amp;N3, KCN Nam Tân Uyên, P Khánh Bình, Tp Tân Uyên, Tỉnh Bình Dương</t>
  </si>
  <si>
    <t>30/12/2026</t>
  </si>
  <si>
    <t>vô hạn</t>
  </si>
  <si>
    <t>'31/12/2024</t>
  </si>
  <si>
    <t>Công ty TNHH Thương Mại - Dịch vụ - In Thành Đạt</t>
  </si>
  <si>
    <t>Carton, nylon, dây đai, mút xốp, giấy vụn, gỗ vụn, nhựa thải</t>
  </si>
  <si>
    <t>Công ty TNHH Huang Chou International
74.003357.T</t>
  </si>
  <si>
    <t>19 Vsip II-A, đường số 29, khu công nghiệp Việt Nam – Singapore II-A, phường Vĩnh Tân, thành phố Tân Uyên, tỉnh Bình Dương</t>
  </si>
  <si>
    <t>01	Mực in thải có các thành phần nguy hại	Rắn/ Lỏng	08 02 01
02	Bùn thải lẫn sơn hoặc véc ni có dung môi hữu cơ hoặc các thành phần nguy hại khác	Bùn	08 02 02
03	Hộp mực in thải có các thành phần nguy hại	Rắn	08 02 04
04	Bóng đèn huỳnh quang và các loại thuỷ tinh hoạt tính thải	Rắn	16 01 06
05	Các loại dầu động cơ, hộp số và bôi trơn thải khác	Lỏng	17 02 04
06	Các loại dung môi và hỗn hợp dung môi thải khác	Lỏng	17 08 03
07	Bao bì cứng thải bằng kim loại bao gồm cả bình chứa áp suất bảo đảm rỗng hoàn toàn	Rắn	18 01 02
08	Bao bì cứng thải bằng nhựa	Rắn	18 01 03
09	Chất hấp thụ, vật liệu lọc (bao gồm cả vật liệu lọc dầu chưa nêu tại các mã khác), giẻ lau, vải bảo vệ thải bị nhiễm các thành phần nguy hại	Rắn	18 02 01
10	Pin, ắc quy chì thải	Rắn	19 06 01</t>
  </si>
  <si>
    <t>1- Nilon, carton, giấy vụn, mút xốp, dây đai , gỗ vụn, khuôn thạch cao các loại,nhựa thải, silicon, bột từ đĩa Zirconia, cát trắng dùng trong nha khoa.
2- Khuôn thạch cao các loại, nhựa thải, silicon, nhựa bán thành phẩm lỗi. 
3- Gói, chăn, chiếu, mùng, nệm, lều, thảm, quạt, kem dánh răng, sửa tắm, nước muối
4- Bàn đá, ghê đá, xà bần, bê tông
5 - Ghế văn phòng hư hỏng</t>
  </si>
  <si>
    <t>Công Ty TNHH Chiêm Hoa</t>
  </si>
  <si>
    <t>Chi nhánh Công ty TNHH Chiêm Hoa ( TĐS 799, TBĐ số 31, KP Long Bình, Khánh Bình, Tân Uyên, BD)</t>
  </si>
  <si>
    <t>1 - Bùn thải có TPNH từ hệ thống xử lý nước thải 12 06 05
2 - Cặn sơn, sơn, vecni thải có các thành phần dung môi hữu cơ hoặc các thành phần nguy hại khác 08 01 01 (lỏng)
3 - Hộp mực in thải có các TPNH 08 02 04 (rắn)
4 - Bóng đèn huỳnh quang và các loại thủy tinh hoạt tính thải 16 01 06 (rắn)
5 - Các loại dầu động cơ, hộp số và bôi trơn thải khác 17 02 04 (lỏng)
6 - Bao bì cứng thải bằng kim loại bao gồm cả bình chứa áp suất rỗng hoàn toàn 18 01 02 (rắn)
7 - Bao bì cứng thải bằng nhựa 18 01 03 (rắn)
8 - Chất hấp thụ, vật liệu lọc , giẻ lau , vải bảo vệ thải bị nhiễm các thành phần nguy hại 18 02 01 (rắn)
9 - Pin, ắc quy chì thải 19 06 01 (rắn)</t>
  </si>
  <si>
    <t>04/01/2025</t>
  </si>
  <si>
    <t>30/09/2026</t>
  </si>
  <si>
    <t>06/01/2025</t>
  </si>
  <si>
    <t>lô C6, đường N3, KCN Nam Tân Uyên, P Tân Phước Khánh, Tp Tân Uyên, Tỉnh Bình Dương</t>
  </si>
  <si>
    <t>số 7, vsip II-A, đường số 28, KCN Singapore II-A, Phường Vĩnh Tân, Tp tân Uyên, Tỉnh Bình Dương</t>
  </si>
  <si>
    <t>17 vsip II-A, đường số 26, KCN VN - Singapore II-A, Phường Vĩnh tân, Tp Tân Uyên, Tỉnh BD</t>
  </si>
  <si>
    <r>
      <rPr>
        <b/>
        <sz val="14"/>
        <rFont val="Times New Roman"/>
        <family val="1"/>
      </rPr>
      <t xml:space="preserve">Số 149B/2, Kp 1B, Phường An Phú, TX Thuận An, BD
 </t>
    </r>
    <r>
      <rPr>
        <sz val="14"/>
        <rFont val="Times New Roman"/>
        <family val="1"/>
      </rPr>
      <t>KP Khánh Vân, Khánh Bình, Tp Tân uyên, BD</t>
    </r>
  </si>
  <si>
    <t>Công ty TNHH Preciv</t>
  </si>
  <si>
    <t>Lô Z2, đường D3-N4, KCN Nam Tân Uyên, phường Khánh Bình, Thành phố Tân Uyên, tỉnh Bình Dương, Việt Nam</t>
  </si>
  <si>
    <t>01	Bóng đèng huỳnh quảng thải	Rắn	16 01 06
02	Dầu nhớt thải	Lỏng	17 02 04
03	Thùng đựng dầu nhớt, mực in thải bằng nhựa	Rắn	18 01 03
04	Thùng kim loại dính TPNH	Rắn	18 01 02
05	Giẻ lau, găng tay, vải dính TPNH	Rắn	18 02 01
06	Pin, ắc quy chì thải	Rắn	19 06 01
07	Hộp mực in thải 	Rắn	08 02 04
08	Dầu thuỷ lực thải 	Lỏng	17 01 06
09	Dầu giải nhiệt thải	Lỏng	17 03 05
10	Bùn thải có chứa các TPNH từ quá trình xử lý nước thải	Bùn	12 06 05</t>
  </si>
  <si>
    <t>Chi nhánh Công Ty TNHH An Lộc Thành (Địa chỉ: Thửa đất 1313, tờ bản đồ số 4, Khu phố Khánh Lợi, phường Tân Phước Khánh, Thành phố Tân Uyên, tỉnh Bình Dương)</t>
  </si>
  <si>
    <t>1		Thùng phuy sắt dựng dung môi, đựng keo	Rắn	18 01 02
2		Can, thùng đựng  sơn, dung môi thải	Rắn	18 01 02
3		Giẻ lau nhiễm 
TPNH	Rắn	18 02 01
4		Cặn sơn thải	Rắn/lỏng	08 01 01
5		Keo thải	Rắn/lỏng	08 03 01
6		Dầu nhớt thải	Lỏng	17 02 04
7		Bao bì nilong nhiễm TPNH	Rắn	18 01 01</t>
  </si>
  <si>
    <t>21/12/2026</t>
  </si>
  <si>
    <t>1- Giẻ lau dính dầu nhớt, mực 18 02 01 (rắn)
2- Thùng kim loại dính TPNH 18 01 02 (rắn)
3- Dầu nhớt 17 02 04 (lỏng)
4- Keo dán 08 03 01 (lỏng)
5- Dung môi 17 08 03 (lỏng)
6- Bóng đèn huỳnh quang 16 01 06 (rắn)
7- Hộp mực in 08 02 04 (rắn)
8- Mực in 08 01 01 (lỏng)
9- Bao bì nhựa dính TPPNH 18 01 03 (rắn)
10- Pin, ắc quy 19 06 01 (rắn)
11- Than hoạt tính thải 02 07 02
12- Thiết bị điện, điện tử thải 16 01 13
13- Dung dịch nước tẩy rửa thải 07 01 06</t>
  </si>
  <si>
    <t>7. 10/01/2025</t>
  </si>
  <si>
    <t>Công Ty TNHH  Lego Manufacturing Việt Nam</t>
  </si>
  <si>
    <t>Chất thải công nghiệp: Nylon, dây đai, mút xốp, giấy vụn, gỗ vụn, gỗ tấm lớn</t>
  </si>
  <si>
    <t>Số 6 Vsip 2-A, Đường Hòa Bình, KCN VN Singgapore II-A, Vĩnh Tân, Tân Uyên, Bình Dương</t>
  </si>
  <si>
    <t>4. đã đổi tên bán lại</t>
  </si>
  <si>
    <t>1 - Chất hấp thụ, vật liệu lọc, giẻ lau , vải bảo vệ thải bị nhiễm các thành phần nguy hại 18 02 01 (rắn)
2 - Bao bì cứng bằng kim loại 18 01 02(rắn)
3 - Dầu động cơ, hộp số và bôi trơn thải  17 02 04(lỏng)
4 - Bao bì cứng bằng nhựa 18 01 03(rắn)
5 -Cặn sơn thải 08 01 01(rắn)
6 - Bóng đèn huỳnh quang thải 16 01 06(rắn)
7 - Pin, ắc quy chì thải 19 06 01(rắn)
8 - Hộp mực in thải 08 02 04(rắn)
9 - Bùn thải lẩn sơn hoăc vecni 08 01 02(bùn)
10 - Chất kết dính và chất bịt kín 08 03 01(lỏng)
11 - Mùn cưa, phoi bòa, đầu mẫu gỗ thừa, vàn 09 01 01(rắn)
12 - Bùn thải có các thành phần nguy hại 12 06 05(bùn)
13 - Chất thải lây nhiễm 13 01 01(rắn)
14 - Bao bì mền thải 18 01 01(rắn)
15 - Dầu thủy lực tổng hộp thải 17 01 06(lỏng)</t>
  </si>
  <si>
    <t>01	Bùn thải có các thành phần nguy hại từ quá trình xử lý nước thải công nghiệp	Bùn	12 06 05
02	Dầu động cơ, hộp số và bôi trơn tổng hợp thải khác	Lỏng	17 02 03
03	Bao bì mềm (đã chứa chất khi thải ra là CTNH) thải	Rắn	18 01 01
04	Bao bì nhựa cứng (đã chứa chất khi thải ra là CTNH) thải	Rắn	18 01 03
05	Bao bì cứng (đã chứa chất khi thải ra là CTNH) thải bằng các vật liệu khác (như composit)	Rắn	18 01 04
06	Bóng đèn huỳnh quang và các loại thuỷ tinh hoạt tính thải	Rắn	16 01 06
07	Ắc quy thải	Rắn	19 06 01
08	Chất hấp thụ, vật liệu lọc (bao gồm cả vật liệu lọc dầu chưa nêu tại các mã khác), giẻ lau, vải bảo vệ thải bị nhiễm các thành phần nguy hại	Rắn	18 02 01
09	Hóa chất và hỗn hợp hóa chất phòng thí nghiệm thải có các thành phần nguy hại	Rắn	19 05 02
10	Hộp mực in thải	Rắn	08 02 04</t>
  </si>
  <si>
    <t>17/01/2025</t>
  </si>
  <si>
    <t>'08/01/2026</t>
  </si>
  <si>
    <t>Công ty TNHH Baosteel Can Making (Việt Nam)
74.002.384.T</t>
  </si>
  <si>
    <t>28/11/2025</t>
  </si>
  <si>
    <t>TĐS 338,387,388,407,408, TBĐ 41, Kp 3, phường Vĩnh Tân, Tp Tân uyên, tỉnh Bình Dương, Việt Nam</t>
  </si>
  <si>
    <t>'28/01/2025</t>
  </si>
  <si>
    <t xml:space="preserve">Chất thải công nghiệp không nguy hại:Giấy vụn, nhựa thải, gỗ vụn, dây đai, nilon, mút xốp, </t>
  </si>
  <si>
    <t>số 12, đường số 15, KCN VN Singapore II-A, Tp Tân Uyên, Bình Dương</t>
  </si>
  <si>
    <t>1 - Giẻ lau, găng tay dính thành phần nguy hại 18 02 01
2 - Dầu nhớt thải 17 02 04
3 - Hộp mực in thải 08 02 04
4 - Bóng đèn huỳnh quang thải 16 01 06
5 - Pin, ắc quy chì thải 19 06 01
6 - Phuy nhựa, can nhựa dính thành phần nguy hại 18 01 03
7 - Thùng kim loại dính thành phần nguy hại 18 01 03</t>
  </si>
  <si>
    <t>1- Bao tay ngón, giáy keo, mút xốp, tấm lọc, máy lạnh,, chất hất thụ, vật liệu lọc, giẻ lau, vải bảo vệ thải khác không dính TPNH (Vật liệu lọc từ thiết AHU)
2- Bùn từ hệ thống xử lý nước thải và nạo vét cống
3- Nhựa lẫn bụi sàn (BS)</t>
  </si>
  <si>
    <t>Khu Phố Bình Khánh, Phường Khánh Bình, 
Tp Tân Uyên, Bình Dương</t>
  </si>
  <si>
    <t>500k</t>
  </si>
  <si>
    <t>1 - Dầu nhớt thải 17 02 04(lỏng)
2 - Bóng đèn huỳnh quang thải và các loại thuỷ tinh hoạt tính thải khác 16 01 06(rắn)
3 - Hộp mực in thải 08 02 04(rắn)
4 - Pin, ắc quy chì thải 19 06 01(rắn)
5 - Giẻ lau dính TPNH 18 02 01(rắn)
6 - Bao bì chứa TPNH bằng kim loại 18 01 02
7 - Bao bì chứa TPNH bằng nhựa 18 01 03
8 - Băng keo thải dính thành phần nguy hại 08 03 01(rắn)
10 - Keo thải 08 03 01(lỏng)
11 -Bùn thải có chứa TPNH 12 06 05</t>
  </si>
  <si>
    <r>
      <t xml:space="preserve">24/08/2024
</t>
    </r>
    <r>
      <rPr>
        <b/>
        <sz val="14"/>
        <rFont val="Times New Roman"/>
        <family val="1"/>
      </rPr>
      <t>PLBS tến CT nhận 31/01/2025</t>
    </r>
  </si>
  <si>
    <t>1- Dầu nhớt thải 17 02 03)lỏng)
2- Thùng đựng dầu nhớt,hộp đựng keo 502, thùng đựng keo AB thải 18 01 01(rắn)
3- Giẻ lau dính dầu nhớt sơn, keo 18 02 01(rắn)
4- Bóng đèn huỳnh quang ; 16 01 06(rắn)
5- Hộp mực in thải  08 02 04(rắn)
6- hộp đựng dầu chuối 18 01 01(rắn)
7 - thùng đựng sơn 18 01 01(rắn)
8 - pin acquy chì thải  19 06 01(rắn)
9- Cặn sơn  08 01 02(rắn)
10- bùn từ htxlnt 12 02 02(rắn)
11- Keo thải 08 03 01 (lỏng)
12- Than hoạt tính đã qua sử dụng</t>
  </si>
  <si>
    <t>Công Ty TNHH Thương Mại Xây Dựng Đoàn Lực</t>
  </si>
  <si>
    <t>Phạm Ngọc Thạch, KP5, Phú Mỹ, TDM, BD
Địa chỉ thu gom: Công Trình của Công Ty TNHH Thương Mại Xây Dựng Đoàn Lực ( số 2, đường số 17, KCN Vsip 2A, Tân Uyên, BD)</t>
  </si>
  <si>
    <t>Theo yêu cầu
02/2025</t>
  </si>
  <si>
    <t>31/05/2025</t>
  </si>
  <si>
    <t>Theo yêu cầu
03/2025</t>
  </si>
  <si>
    <t>1 - Chất kết dính và chất bịt kín thải có dung môi hữu cơ hoặc các TPNH khác 08 03 01 (rắn/lỏng)
2 - Hộp mực in thải có các TPNH 08 02 04 (rắn)
3- Bóng đèn huỳnh quang và các loại thủy tinh hoạt tính thải 16 01 06 (rắn)
4 - Dầu thuỷ lực tổng hợp thải 17 01 06
5 - Các loại dầu động cơ, hộp số và bôi trơn thải khác 17 02 04 (lỏng)
6 - Bao bì mềm thải 18 01 01
7 - Bao bì cứng thải bằng kim loại bao gồm cả bình chứa áp suất rỗng hoàn toàn 18 01 02 (rắn)
8 - Bao bì cứng thải bằng nhựa 18 01 03
9 - Chất hấp thụ, vật liệu lọc (bao gồm cả vật liệu lọc dầu chưa nêu tại các mã khác) , giẻ lau , vải bảo vệ thải bị nhiễm các thành phần nguy hại 18 02 01 (rắn)
10 - Pin, ắc quy chì thải 19 06 01 (rắn)
11 - Các loại chất thải khác có chứa thành phần nguy hại hữu cơ 19 12 02
12 - Cặn sơn thải 08 01 01</t>
  </si>
  <si>
    <t>4.11/02/2025</t>
  </si>
  <si>
    <t>5.11/02/2025</t>
  </si>
  <si>
    <t>1 - Nilon, dây đai, mút xốp
2 - Thủy tinh
3 - Vỉ thuốc</t>
  </si>
  <si>
    <t>1- Bao bì nylon, dây đai, mút xốp, gỗ vụn, giấy vụn, vải vụn, nhựa thải, băng tải hàng hoá hỏng, xà bần, gạch vụn, bột mì.
2- Bùn từ HTXLNT của quá trình sản xuất giấy</t>
  </si>
  <si>
    <t>Công Ty TNHH Kim Loại &amp; Gỗ Nội Thất LHV</t>
  </si>
  <si>
    <t>1- Chất hấp thụ, vật liệu lọc ( bao gồm cả cật liệu lọc dầu chưa nêu tại các mã khác), giẻ lau, vải bảo vệ thải bị nhiễm các thành phần nguy hại 18 02 01 (rắn)
2- Cặn sơn, sơn và véc ni thải có dung môi hữu cơ hoặc các thành phần nguy hại khác 08 01 01 (lỏng)
3- Bao bì mềm thải dính thành phần nguy hại 18 01 01 (rắn)</t>
  </si>
  <si>
    <t>02/03/2025</t>
  </si>
  <si>
    <t>Nylon, carton, dây đai, mút xốp, gỗ vụn, giấy vụn, nhựa thải</t>
  </si>
  <si>
    <t>4 05/03/2025 báo ngưng</t>
  </si>
  <si>
    <t xml:space="preserve">
1- Cặn sơn, sơn, vecni thải có các thành phần dung môi hữu cơ hoặc các thành phần nguy hại khác 08 01 01 (lỏng/rắn)
2- Hộp mực in thải có các TPNH 08 02 04 (rắn)
3- Mùn cưa, phôi bào, dầu mẫu, gỗ thừa, ván và gỗ dán vụn có chứa các thành phần nguy hại 09 01 01 (rắn)
4- Các loại chất bảo quản gỗ thải khác có các TPNH 09 02 05 (rắn)
5- Than hoạt tính đã qua sử dụng từ quá tình xử lý khí thải 12 01 04 (rắn)
6- Bùn thỉa có các TPNH từ quá trình xử lý nước thỉa công nghiệp 12 06 05 (bùn)
7- Bóng đèn huỳnh quang và các loại thủy tinh hoạt tính thải 16 01 06 (rắn)
8- Các loại dung môi và hỗn hợp dung môi thải khác 17 08 03 (lỏng)
9- Bao bì cứng thải bằng kim loại bao gồm cả bình chứa áp suất rỗng hoàn toàn 18 01 02 (rắn)
10-Bao bì cứng thải bằng nhựa 18 01 03 (rắn)
11- Chất hấp thụ, vật liệu lọc (bao gồm cả vật liệu lọc dầu chưa nêu tại các mã khác) , giẻ lau , vải bảo vệ thải bị nhiễm các thành phần nguy hại 18 02 01 (rắn)
12 -Pin, ắc quy chì thải 19 06 01 (rắn)
13- Nước thải lẫn dầu 12 07 03 (lỏng)
14- Bao Bì Mêm Thải 18 01 01 (rắn)
15- Các loại dầu động cơ, hốp số và bôi trơn, tổng hợp thải khác 17 08 03 (lỏng)
16- Các loại dung môi và hỗn hợp dung môi thải khác 17 08 03 (lỏng)
17- Chất thải có chứa kim loại nặng 02 04 03 (rắn/lỏng)</t>
  </si>
  <si>
    <t>Carton, nylon, dây đai, mút xốp, giấy vụn, xà bần, nhựa vụn, bao xi măng, pallet hư, gỗ vụn, sắt vụn, nhôm vụn, mùn cưa không dính thành phần nguy hại</t>
  </si>
  <si>
    <t>01 lần/ 2 tháng
6,12</t>
  </si>
  <si>
    <t>Công Ty TNHH Bao Bì Đóng Gói Yong Sheng</t>
  </si>
  <si>
    <t>TĐS 1572, TBĐS 11, Đường N6b và Đường D3, Cụm CN Phú Chánh 1, p Phú Chánh, tp Tân Uyên, BD</t>
  </si>
  <si>
    <t>Tháng 3,12</t>
  </si>
  <si>
    <t>14/03/2025</t>
  </si>
  <si>
    <t>ngưng 10/03/2025</t>
  </si>
  <si>
    <t>4 Ngưng 10/03/2025</t>
  </si>
  <si>
    <t>5 Ngưng 10/03/2025</t>
  </si>
  <si>
    <t>Lô N11, Đường N2, KCN Nam Tân Uyên Mở Rông, BD</t>
  </si>
  <si>
    <t>CÔNG TY TNHH THƯƠNG MẠI CHẾ BIẾN GỖ XUẤT KHẨU LMS VIỆT NAM</t>
  </si>
  <si>
    <t>Thửa đất số 485, Tờ bản đồ số 5, Đường Tân Phước Khánh 48.Khu phố Khánh Lộc, Phường Tân Phước Khánh, Thành phố Tân Uyên, Tỉnh Bình Dương, Việt Nam</t>
  </si>
  <si>
    <t>1 lần/ tháng Theo yêu cầu</t>
  </si>
  <si>
    <t>TĐS 555, 541, 474, 168, 193, TBĐS 49, Tổ 4, Kp 8, p Uyên Hưng,  Tân uyên, BD</t>
  </si>
  <si>
    <t>Tro Lò Hơi</t>
  </si>
  <si>
    <t>Kp 8, p Uyên Hưng, Tân Uyên, BD</t>
  </si>
  <si>
    <t>20/02/2027</t>
  </si>
  <si>
    <t xml:space="preserve">1 -  Bóng đèn huỳnh quang thải;  16 01 06
2 - Dầu nhớt thải;  17 02 04
3 - Keo hỏng thải; 08 03 01
4 -  Giẻ lau, găng tay ình dầu nhớt, keo, dung môi, hóa chất;  18 02 01
5 - Dung môi thải;  17 08 03
6 - Hộp mực in thải; 08 02 04
7 - Màng xốp xử lý bụi sơn thải 18 02 01
8 - Thùng chứa keo, sơn, dung môi bằng kim loại 18 01 02
9 -Pin, ắc quy chì thải 19 06 01
10 - Sơn hỏng thải 08 01 01
11 - Gạc, bông băng vết thương 13 01 01
12 - Thùng đựng sơn, keo bằng nhựa 18 01 03
13 - Bùn từ hệ thống xử lý nước thải 12 06 05
14 - Than hoạt tính đã qua sử dụng 12 01 04
</t>
  </si>
  <si>
    <t>CÔNG TY TNHH NỘI THẤT PERFECT</t>
  </si>
  <si>
    <t>TĐS 773, TBĐS 52, kp 8, p Uyên Hưng, tp Tân Uyên, BD</t>
  </si>
  <si>
    <t>1 - Bóng đèn huỳnh quang thải 16 01 06
2 - Pin, ắc quy chì thải 19 06 01
3 - Giẻ lau dính dung môi, dầu nhớt 18 02 01
4 - Thùng đựng xăng, dầu nhớt bôi trơn, bao bì đựng sơn 18 01 01 
5 - Cặn sơn thải 08 01 01
6 - Hộp mực in thải 08 02 04
7 - Lưới Amiang thải 11 06 01
8 - Dung môi thải 17 08 03
9 - Dầu nhớt thải 17 02 04
10 - Giấy nhám thải 18 02 01
11 - Keo thải 08 03 01
12- Bùn thải từ hệ thống XLNT 12 06 05
13 - Bao bì cứng bằng kim laoi5 18 01 02
14 - Bao bì cứng bằng nhựa 18 01 03
15 - Các loại chất thải khác có các thành phần nguy hại hữu cơ 19 12 02</t>
  </si>
  <si>
    <t>01/01/2026</t>
  </si>
  <si>
    <t>25/03/2025</t>
  </si>
  <si>
    <t>01 - Dầu nhớt thải Lỏng	17 02 04
02 - Bóng đèn huỳnh quang thải Rắn	16 01 06
03 - Hộp mực in thải Rắn 08 02 04
04 - Pin, ắc qui chì thải Rắn 19 06 01
05 - Giẻ lau dính mực in, dung môi, dầu nhớt và hoá chất nguy hại thải Rắn 18 02 01
06 - Mực in thải có thành phần nguy hại	Rắn 08 02 01
07 - Các loại dung môi và hỗn hợp dung môi thải khác Rắn/ Lỏng 17 08 03
08 - Bao bì nhựa cứng (đã chứa chất khi thải ra là CTNH) thải Rắn 18 01 03
09 - Bao bì mềm thải Rắn 18 01 01
10 - Than hoạt tính (trong buồng hấp phụ) đã qua sử dụng từ quá trình xử lý khí thải Rắn 12 01 04</t>
  </si>
  <si>
    <t>CÔNG TY TNHH TNL &amp; SON</t>
  </si>
  <si>
    <t>Số 37/3 Đường Hàn Mặc Tử, kp Khánh Hội, p Tân Phước Khánh, TU, BD</t>
  </si>
  <si>
    <t>Nylon, dây đai, mút xốp, gỗ vụn ,nhựa thải, giấy vụn, carton</t>
  </si>
  <si>
    <t>01 lần/3 tháng Theo Yêu Cầu</t>
  </si>
  <si>
    <t>27/03/2025</t>
  </si>
  <si>
    <t>CÔNG TY TNHH QUANG LÂM BÌNH DƯƠNG</t>
  </si>
  <si>
    <t>Số 81 đường Tân Mỹ 03, ấp Vườn Vũ, Xã Tân Mỹ, Huyện Bắc Tân Uyên, Tỉnh Bình Dương, Việt Nam</t>
  </si>
  <si>
    <t>13/03/2026</t>
  </si>
  <si>
    <t>01	Chất thải hầm cầu, bùn thải bể tự hoại	Lỏng/Bùn
02	Nước thải sinh hoạt	Lỏng</t>
  </si>
  <si>
    <t>Công Ty TNHH Phương Cát</t>
  </si>
  <si>
    <t>CÔNG TY TNHH XIN GUANG HONG VIỆT NAM</t>
  </si>
  <si>
    <t>Lô M3-Module 1, lô D, đường D2, khu công nghiệp Nam Tân Uyên, Phường Khánh Bình, Thành phố Tân Uyên, Tỉnh Bình Dương, Việt Nam</t>
  </si>
  <si>
    <t>Mang 20 bành</t>
  </si>
  <si>
    <t>CÔNG TY CỔ PHẦN KHOÁN SẢN VÀ XÂY DỰNG BÌNH DƯƠNG</t>
  </si>
  <si>
    <t>Bến thủy Tân Mỹ - Xí nghiệp Khai thác và Chế biến đá Tân Mỹ
Ấp 3, xã Tân Mỹ, huyện Bắc TU, BD</t>
  </si>
  <si>
    <t>15/03/2027</t>
  </si>
  <si>
    <t>31/03/2025 Đại kêu đổi từ Thứ 5 tuần 2 4 hàng tháng sáng thứ 5 tuần 2 của tháng 3 6 9 12</t>
  </si>
  <si>
    <t>3 Ngưng HĐ 26/03/2025</t>
  </si>
  <si>
    <t>1- Dầu nhớt thải 17 02 03(lỏng)
 2- Bao bì chứa hóa chất 18 01 01(rắn)
 3- Giẻ lau dính sơn, dung môi 18 02 01(rắn)
 4- Bóng đèn huỳnh quang ;  16 01 06(rắn)
 5 - thùng phuy 18 01 02(rắn)
6 - Cặn sơn, sơn và vecni thải có dung môi hữu cơ hoăc các thành phần nguy hại 08 01 01(rắn)
7 - Chất kết dính và chất bịt kín thải có dung môi hữu cơ 08 03 01(lỏng)</t>
  </si>
  <si>
    <t>TĐS 241, TBĐS 15, KP Khánh Long, p Tân Phước Khánh, tp Tân Uyên, BD</t>
  </si>
  <si>
    <t>mút xốp, dây dai, giấy vụn, gỗ vụn</t>
  </si>
  <si>
    <t>01/04/2025</t>
  </si>
  <si>
    <t>CÔNG TY TNHH GIÀY GIA HÒA VIỆT NAM</t>
  </si>
  <si>
    <t>TĐS 726, TBĐS 28, Đường Nguyễn Khuyến, kp Tân Bình, p Tân Hiệp, tp TU, BD</t>
  </si>
  <si>
    <t>1 - Chất kết dính và chất bịt kín thải có dung môi hữu cơ hoặc các thành phần nguy hại khác 08 03 01
2 - Hộp mực in thải có các thành phần nguy hại 08 02 04
3 - Bóng đèn huỳnh quang và các loại thuy tinh hoạt tính thải 16 01 06
4 - Dầu thuỷ lực tổng hợp thải 17 01 06
5 - Các loại dầu động cơ, hộp số và bôi trơn thải khác 17 02 04
6 - Bao bì mềm thải 18 01 01
7 - Bao bì cứng thải bằng kim loại bao gồm cả bình chứa áp suất bảo đảm rỗng hoàn toàn 18 01 02
8 - Bao bì cứng thải bằng nhựa 18 01 03
9 - Chất hấp thụ, vật liệu lọc (bao gôm cả vật liệu lọc dầu chưa nêu rại các mã khác), giê lau, vải bảo vệ thải bị nhiễm các thành phần nguy hại 18 02 01
10 - Pin, ắc quy chỉ thải 19 06 01
11 - Các loại chất thải có các thành phần nguy hại hữu cơ 19 12 02
12 - Cặn sơn thải 08 01 01</t>
  </si>
  <si>
    <t>01 lần/6 tháng 4/2025 10/2025</t>
  </si>
  <si>
    <t>03/04/2025</t>
  </si>
  <si>
    <t>31/10/2025</t>
  </si>
  <si>
    <t>Số 1-3 Đường số 12, KCN Vsip II-A, p Vĩnh Tân, TU, BD</t>
  </si>
  <si>
    <t>1 - Bóng đèn huỳnh quan thải 16 01 06
2 - Dầu nhớt tổng hợp thải 17 02 04
3 - Bộ lọc dầu đã qua sử dụng 15 02 02
4 - Màng lọc than hoạt tính 02 11 02
5 - Bao bì cứng thải bằng nhựa, thùng nhựa đựng dầu nhớt thải 18 01 03
6 - Bao bì cứng thải bằng kim loại bao gồm cả bình áp suất bảo đảm rỗng hoàn toàn 18 01 02
7 - Chất hấp thụ, vật liệu lọc ( bao gồm cả vật liệu lọc dầu chưa nêu tại các mã khác), giẻ lau, vải bảo vệ thải bị nhiễm TPNH
8 - Pin, ắc quy chì thải 19 06 01
9 - Hộp mực in thải 08 02 04
10 - Các chất thải từ các thiết bị điện tử 19 02 05
11 - Than hoạt tính thải 12 01 04
12 - Bao bì mềm thải 18 01 01</t>
  </si>
  <si>
    <t>CÔNG TY TNHH PANASONIC ELECTRIC WORKS VIỆT NAM
74.002.531.T</t>
  </si>
  <si>
    <t>01 lần/3 tháng 1,4,7,10</t>
  </si>
  <si>
    <t>Nhà xưởng 1, Lô L4 và L5 Đường D4, KCN Nam Tân Uyên Mở Rộng, P Uyên Hưng, Tp Tân Uyên, tỉnh Bình Dương Việt Nam</t>
  </si>
  <si>
    <t>09/04/2025</t>
  </si>
  <si>
    <t>CÔNG TY TNHH THỰC PHẨM NISSIN VIỆT NAM</t>
  </si>
  <si>
    <t>Số 2, Đường số 19, KCN Vsip II-A, p Vĩnh Tân, TU, BD</t>
  </si>
  <si>
    <t>09/01/2026</t>
  </si>
  <si>
    <r>
      <t xml:space="preserve">Số 303, đường số 85, Kp Tân Phú, phường Tân Hiệp, Tp Tân Uyên, tỉnh Bình Dương
</t>
    </r>
    <r>
      <rPr>
        <b/>
        <sz val="14"/>
        <rFont val="Times New Roman"/>
        <family val="1"/>
      </rPr>
      <t>Địa chỉ thu gom</t>
    </r>
    <r>
      <rPr>
        <sz val="14"/>
        <rFont val="Times New Roman"/>
        <family val="1"/>
      </rPr>
      <t>: đường D3-KCN Vsip3, p Hội Nghĩa, Tân Uyên, BD và xã Tân Lập Huyện Bắc Tân Uyên, Bình Dương</t>
    </r>
  </si>
  <si>
    <t>1-Bao bì cứng thải bằng kim loại dính các TPNH 18 01 02 (rắn)
2-Bao bì cứng thải bằng nhựa dính các TPNH 18 01 03 (rắn)
3-Chất hấp thụ, vật liệu lọc (bao gồm cả vật liệu lọc dầu chưa nêu tại các mã khác) , giẻ lau , vải bảo vệ thải bị nhiễm các thành phần nguy hại 18 02 01 (rắn)
4- Bao bì mềm dính các TPNH 18 01 01 (rắn)</t>
  </si>
  <si>
    <t>10/04/2025</t>
  </si>
  <si>
    <t>1 Bóng đèn huỳnh quang thải và các loại thủy tinh hoạt tính 16 01 06 (rắn)
2 Bao bì cứng bằng kim loại bao gồm cả bình chứa áp suất đảm bảo rỗng hoàn toàn 18 01 02 (rắn)
3 Bao bì cứng thải bằng nhựa 18 01 03 (rắn)
4 Chất hấp thụ vật liệu lộc,  Giẻ lau, vải bảo vệ bị nhiễm TPNH 18 02 01 (rắn)
5 Pin, ắc quy chì thải 19 06 01 (rắn)
6 Các loại dầu động cơ hợp số và bôi trơn thải 17 02 04 (lỏng)
7 Bao bì mềm thải 18 01 01 (rắn)
8- Hộp mực in thải có các TPNH 08 02 04 (rắn)</t>
  </si>
  <si>
    <t>Ngưng HĐ 10/04/2025</t>
  </si>
  <si>
    <t>CHI NHÁNH CẤP NƯỚC TÂN UYÊN - CÔNG TY CP - TỔNG CÔNG TY NƯỚC - MÔI TRƯỜNG BÌNH DƯƠNG</t>
  </si>
  <si>
    <t>1 - Hộp mực in thải có chứa các thành phần nguy hại 08 02 04
2 - Bóng đèn huỳnh quang và các loại thuy tinh hoạt tính thải 16 01 06
3 - Các loại dầu động cơ, hộp số và bôi trơn thải khác 17 02 04
4 - Bao bì mềm thải 18 01 01
5 - Bao bì cứng thải bằng kim loại bao gồm cả bình chứa áp suất bảo đảm rỗng hoàn toàn 18 01 02
6 - Bao bì cứng thải bằng nhựa 18 01 03
7 - Chất hấp thụ, vật liệu lọc (bao gồm cả vật liệu lọc dầu chưa nêu tại các mã khác), giẻ lau, vải bảo vệ thải bị nhiễm các thành phần nguy hại 18 02 01
8 - Hóa chất và hỗn hợp hóa chất phòng thí nghiệm thải có các thành phần nguy hại 19 05 02
9 - Pin, ắc quy chì thải 19 06 01</t>
  </si>
  <si>
    <t>11/04/2025</t>
  </si>
  <si>
    <t>Cho đến khi có văn bản thông báo ngưng HĐ</t>
  </si>
  <si>
    <t>CÔNG TY TNHH CÔNG NGHỆ VẬT LIỆU HÓA CHẤT DONG YING VIỆT NAM</t>
  </si>
  <si>
    <t>Lô C5 và C6, dường D4 và N5, KCN Nam TU mở rộng, p Uyên Hưng, tp TU, BD</t>
  </si>
  <si>
    <t>22/03/2026</t>
  </si>
  <si>
    <t>Công ty TNHH Một Thành Viên Nhôm Vạn Xuân Thành</t>
  </si>
  <si>
    <t>Mút xốp, dây đai, giấy vụn, gỗ vụn, nhựa thải, nylon</t>
  </si>
  <si>
    <t>CÔNG TY TNHHH POONG IN VINA</t>
  </si>
  <si>
    <t>TĐ 765, TBĐS 43, Tổ 6, khu 5, Phường Uyên Hưng, Tân Uyên, Bình Dương</t>
  </si>
  <si>
    <t>1 - Nylon, carton, giấy vụn, mút xốp, dây đai
2 - Hạt nhựa
3 - Gỗ vụn</t>
  </si>
  <si>
    <t>Công ty TNHH Glory Oceanic (Việt Nam)
74.001.041.T</t>
  </si>
  <si>
    <t>Thửa đất số 370, tờ bản đồ số 18, Khu phố 1, Phường Hội Nghĩa, Tp Tân Uyên, BD</t>
  </si>
  <si>
    <t>1 - Bao bì, thùng chứa sơn, keo, dung môi, dầu nhớt bằng kim loại thải 18 01 01
2 - Giẻ lau dính dầu nhớt, sơn, dung môi 18 02 01
3 - Dung môi thải 17 08 03
4 - Keo thải 08 03 01
5 - Cặn sơn thải 08 01 01
6 - Dầu nhớt thải 17 02 04
7 - Bóng đèn huỳnh quang thải và các loại thủy tinh hoạt tính 16 01 06
8 - Hộp mực in thải 08 02 04
9 - Pin, ắc quy chì thải 19 06 01
10 - Bùn từ hệ thống xử lý nước thải 12 06 06</t>
  </si>
  <si>
    <r>
      <t xml:space="preserve">số 698 CMT8, Khu 6, P Hiệp Thành, TP.TDM, BÌnh Dương
</t>
    </r>
    <r>
      <rPr>
        <b/>
        <sz val="14"/>
        <rFont val="Times New Roman"/>
        <family val="1"/>
      </rPr>
      <t>địa chỉ thu gom: Địa điểm kinh doanh Công ty TNHH Đầu Tư Phát Triển Dịch Vụ Phúc Thịnh Kho hàng Khánh Bình (TĐS 534,535,536, TBĐS 41, Kp Bình Chánh,P Khánh Bình, Tp tân Uyên, Bình Dương)</t>
    </r>
  </si>
  <si>
    <t>1 -Nước thải có TPNH 19 10 01
2 -Dầu nhớt thải 17 02 04 (lỏng)
3 - Pin, ắc quy chì thải 19 06 01
4-Bóng đèn huỳnh quang và các loại thủy tinh hoạt tính thải 19 06 01 (rắn)
5- Nước thải lẫn dầu 19 07 01
6-Bao bì cứng bằng kim loại bao gồm cả bình chứa áp suất rỗng hoàn toàn 18 01 02
7-Bao bì cứng bằng nhựa 18 01 03</t>
  </si>
  <si>
    <t>17/04/2025</t>
  </si>
  <si>
    <t>1- Bùn thải từ hệ thống xử lý nước thải sinh hoạt
2- Nước thải hầm cầu</t>
  </si>
  <si>
    <t>CÔNG TY TNHH THƯƠNG MẠI CƠ KHÍ NGUYỄN MẪN</t>
  </si>
  <si>
    <t>Nước thải từ quá trình tẩy rữa các chi tiết kim loại 07 02 03 Lỏng</t>
  </si>
  <si>
    <t>30/03/2026</t>
  </si>
  <si>
    <t>1 lần / 6 tháng 
11 và 4</t>
  </si>
  <si>
    <t>TĐS 7 và TĐS 12, TBĐ 9A, Tổ 1, Kp Ông Đông, phường Tân Hiệp, Tân Uyên, tỉnh Bình Dương</t>
  </si>
  <si>
    <t>1- Bùn từ hệ thống XLNT 12 06 05 (bùn)
2- Dầu nhớt thải đả qua sử dụng 17 02 03 (lỏng)
3- Giẻ lau nhiễm các TPNH 18 02 01 (rắn)
4- Bao bì mềm , can thùng đựng hoá chất 18 01 01 (rắn)
5- Bao bì nhựa cứng (đã chứa chất khu thải ra kà CTNH( thải, (can dầu nhớt, hoá chất,...) 18 01 03 (rắn)
6- Bóng đèn thải 16 01 06 (rắn)
7- Pin, ắc quy chì thải 19 06 01 (rắn)</t>
  </si>
  <si>
    <t>Thửa đất số 389, tờ bản đồ số 33, KP Khánh Lộc, P Khánh Bình, Tp Tân Uyên, Tỉnh Bình Dương</t>
  </si>
  <si>
    <t>1 - Cặn sơn, sơn, vecni thải có dung môi hữu cơ hoặc các TPNH 08 01 01
2 - Hộp mực in thải có các TPNH 08 02 04
3 - Bóng đèn huỳnh quang thải và các loại thủy tinh hoạt tính 16 01 06
4 - Các loại dầu động cơ, hộp số và bôi trơn thải 17 02 04
5 - Chất hấp thụ, vật liệu lộc, giẻ lau, vải bảo vệ thải bị nhiễm TPNH 18 02 01
6 - Pin, ắc quy chì thải 19 06 01
8 - Bao bì mền thải 18 01 01
9 - Bao bì cứng bằng kim loại bao gồm cả bình chứa áp suất đảm bảo rỗng hoàn toàn 18 01 02
10 - Bao bì cứng thải bằng nhựa 18 01 03
11 - Dung môi thải 17 08 03
7 - Chất kết dính, chất bịt kín có dung môi hữu cơ hoặc các TPNH (keo thải) 08 03 01</t>
  </si>
  <si>
    <t>1 - Hộp mực in thải; 08 02 04(rắn)
2 -  Giẻ lau dính dầu máy, nhớt thải; 18 02 01(rắn)
3 -  Bóng đèn huỳnh quang thải; 16 01 06(rắn)
4 -  Dầu nhớt thải, dầu máy thải; 17 02 04(lỏng)
5 -  Amiang thải; 11 06 01(rắn)
6 -  Thùng phuy sắt đựng dầu nhớt, dầu máy thải. 18 01 02(rắn)
7 - Thùng nhựa đựng dầu nhớt thải. 18 01 03(rắn)
8 - Pin, ắc quy chì thải 19 06 01(rắn)
9 - Bùn thải từ hệ thống xử lý nước thải 12 06 05(bùn)
10 - Hóa chất hữu cơ và vô cơ thải (ca co3) 19 05 02 (rắn)</t>
  </si>
  <si>
    <t>4 Ngưng HĐ 21/06/2025</t>
  </si>
  <si>
    <t>Ngưng HĐ 21/04/2025</t>
  </si>
  <si>
    <t>4 Ngưng HĐ 21/04/2025</t>
  </si>
  <si>
    <t>1 - Giẻ lau dính dầu nhớt thải, hóa chất 18 02 01
2 - Dầu nhớt thải 17 02 04
3 - Bao bì cứng thải bằng kim loại bao gồm cả bình chứa áp suất rỗng hoàn toàn 18 01 02
4 - Bóng đèn huỳnh quang thải 16 01 06
5 - Bùn thải từ hệ thống XLNT 12 06 05
6 - Hóa chất và hỗn hợp hóa chất phòng thí nghiệm thải chứa chất nguy hại 19 05 02
7 - Hộp mực in thải có chứa TPNH 08 02 04
8 - Pin, ắc quy chì thải 19 06 01
9 - Bao bì cứng thải bằng nhựa đựng hóa chất, dầu nhớt 18 01 03</t>
  </si>
  <si>
    <t>CÔNG TY TNHH SẢN XUẤT THƯƠNG MẠI LÊ PHÚ GIA BÌNH DƯƠNG</t>
  </si>
  <si>
    <t>Lô E15 và E16, đường N4 và D1, KCN Nam TU mở rộng, p Hội Nghĩa, tp TU, BD</t>
  </si>
  <si>
    <t>Axit thải 07 01 01</t>
  </si>
  <si>
    <t>30/04/2025</t>
  </si>
  <si>
    <t>14/04/2026</t>
  </si>
  <si>
    <t>02 lần/năm 4 10</t>
  </si>
  <si>
    <t>01 lần/ 6 tháng
9/2025, 03/2026</t>
  </si>
  <si>
    <t>Mỏ sét Tân Bình 1, Tân Định, Bắc TU, BD</t>
  </si>
  <si>
    <t>1-Bóng đèn huỳnh quang thải và các loại thủy tinh hoạt tính thải 16 01 06 (rắn)
2-Bao bì cứng thải bằng kim loại bao gồm cả bình chứa áp suất rỗng hoàn toàn 18 01 02 (rắn)
3-Chất hấp thụ, vật liệu lọc (bao gồm cả vật liệu lọc dầu chưa nêu tại các mã khác) , giẻ lau , vải bảo vệ thải bị nhiễm các thành phần nguy hại 18 02 01 (rắn)
4-Pin, ắc quy chì thải 19 06 01 (rắn)
5-Các loại dầu động cơ, hộp số và bôi trơn thải khác 17 02 04 (lỏng)</t>
  </si>
  <si>
    <t>31/05/2026</t>
  </si>
  <si>
    <t>01 lần/ 6 tháng
10/2025, 04/2026</t>
  </si>
  <si>
    <t>ĐC 1: Lô HT5, đường D3, KCN Nam TU, p Khánh Bình, tp TU, BD
ĐC 2: Đường ĐT 747, kp 5, p Uyên Hưng, tp TU, BD</t>
  </si>
  <si>
    <t xml:space="preserve">Công ty TNHH Sản Xuất Thịnh Việt II
74.001.589.T
</t>
  </si>
  <si>
    <t>Đường ĐT 746, KP  Bình Khánh, Khánh Bình, Tân Uyên, BD</t>
  </si>
  <si>
    <t>Công ty TNHH Một Thành Viên Quang Hiệp Tiến</t>
  </si>
  <si>
    <t>CÔNG TY TNHH SẢN XUẤT MEIJIA</t>
  </si>
  <si>
    <t>Số 11/1, đường Võ Thị Sáu, tổ 1, kp Khánh Long, p Tân Phước Khánh, tp TU, BD</t>
  </si>
  <si>
    <t>Mút xôp, dây dai, bao bì giấy, vải vụn, nilon, gỗ vụn, pallet hư. Carton</t>
  </si>
  <si>
    <t>1 lần/tháng</t>
  </si>
  <si>
    <t>07/05/2025</t>
  </si>
  <si>
    <t>CÔNG TY TNHH VỸ KIỆT</t>
  </si>
  <si>
    <t>TĐS 489, TBĐS 51, kp 8, p Uyên Hưng, tp Tân Uyên, BD</t>
  </si>
  <si>
    <t>1 - Bao bì, thùng chứa sơn, keo, dung môi, dầu nhớt bằng kim loại thải 18 01 01
2 - Dầu nhớt thải 17 02 04
3 - Pin, ắc quy chì thải 19 06 01
4 - Giẻ lau dính dầu nhớt, keo, sơn, dung môi 18 02 01
5 - Hộp mực in thải 08 02 04
6 - Bóng đèn huỳnh quang thải và các loại thủy tinh hoạt tính 16 01 06
7 - Keo thải 08 03 01</t>
  </si>
  <si>
    <t>20/03/2027</t>
  </si>
  <si>
    <t>CÔNG TY TNHH NHÂN ĐẠT FURNITURE</t>
  </si>
  <si>
    <t>TĐS 79.106, TBĐS 38, đường Khánh Bình 05, kp Khánh Vân, p Khánh Bình, tp TU, BD</t>
  </si>
  <si>
    <t>1 - Hộp mực in thải có các TPNH 08 02 04
2 - Bóng đèn huỳnh quang thải và các loại thủy tinh hoạt tính 16 01 06
3 - Các loại dâu động cơ hợp số và bôi trơn thải 17 02 04
4 - Bao bì mềm thải 18 01 01
5 - Bao bì cứng bằng kim loại bao gồm cả bính chứa áp suất đảm bảo rỗng hoàn toàn 18 01 02
6 - Bao bì cứng thải bằng nhựa 18 01 03
7 - Chất hấp thụ vật liệu lộc, giẻ lau, vải bảo vệ bị nhiêm thành phần nguy hại 18 02 01
8 - Pin, ắc quy chì thải 19 06 01
9 - Cặn sơn thải 08 01 01</t>
  </si>
  <si>
    <t>Đường 747B, Khu phố Bình Khánh, Phường Khánh Bình, Tp Tân Uyên, Tỉnh Bình Dương</t>
  </si>
  <si>
    <t>1 - Axit tẩy thải 07 01 01(lỏng)
2 - Bùn thải của quá trình photphát hóa 07 01 04(bùn)
3 - Bùn thải và bã lộc có các thành phần nguy hại 07 01 05(bùn)
4 - Nhũ tương và dung dịch thải không có hơp chất halogen hữu cơ từ quá trình gia công tạo hình 07 03 04(lỏng)
5 - Phoi từ qua trình gia công tạo hình hoặc vật liệu bị mài ra lẫn dầu nhũ tương hay dung dịch thải có dầu hoặc các TPNH 07 03 11(rắn)
6 - Vật thể dùng để mài đã qua sử dụng có các thành phần nguy hại (ví dụ đã mài, giấy rap) 07 03 10(rắn)
7 - Que hàn thải có các kim loại nặng hoặc thành phần nguy hại 07 04 01(rắn)
8 - Xỉ hàn có các kim loại nặng hoặc các TPNH 07 04 02(rắn)
9 - Cặn sơn, sơn và vecni thải có dung môi hữu cơ hoặc các TPNH 08 01 01(rắn)
10 - Hộp mực in thải có các thành phần nguy hại 08 02 04(rắn)
11 - Hỗn hợp dầu mỡ thải và chất béo độc hại từ qua trình tách dầu/nước 12 06 04(rắn)
12 - Chất thải lây nhiễm (bao gồm cả chất thải sắt nhọn) 13 01 01(rắn)
13 - Bóng đèn huỳnh quang thải và các loại thủy tinh hoạt tính 16 01 06(rắn)
14 - Dầu thủy lực tổng hợp thải 17 01 06(lỏng)
15 - Các loại dầu động cơ, hộp số và bôi trơn thải 17 02 04(lỏng)
16 - Bao bì mền thải 18 01 01(rắn)
17 - Bao bì cứng bằng kim loại bao gồm cả bình chứa áp suất đảm bảo rỗng hoàn toàn 18 01 02(rắn)
18 - Bao bì cứng thải bằng nhựa 18 01 03(rắn)
19 - Chất hấp thụ, vật liệu lộc, giẻ lau, vải bảo vệ bị nhiễm TPNH 18 02 01(rắn)
20 - Pin, ắc quy chì thải 19 06 01(rắn)
21 - Các loại chất thải khác có các thành phần nguy hại 19 12 03(rắn)</t>
  </si>
  <si>
    <t>Công ty TNHH Một Thành Viên Việt Việt Thắng
74.002.207.T</t>
  </si>
  <si>
    <t>Công ty TNHH Một Thành Viên Hoằng Dũ
74.002.498.</t>
  </si>
  <si>
    <t>1 lần/tuần</t>
  </si>
  <si>
    <t>4 Ngưng HĐ 12/05/2025</t>
  </si>
  <si>
    <t>Ngưng HĐ 12/05/2025</t>
  </si>
  <si>
    <t>Mút xốp, dây đai, bao bì giấy, gỗ vụn, pallet hư, nilon, vải vụn, carton</t>
  </si>
  <si>
    <t>Công ty TNHH MTV Du San VN
74.002.270.T</t>
  </si>
  <si>
    <t xml:space="preserve">Công ty TNHH Hsing Yuan Việt Nam
74.003.003.T
</t>
  </si>
  <si>
    <t>CÔNG TY TNHH SHIJIE HOME &amp; LIVING</t>
  </si>
  <si>
    <t>Số 39/1, đường Tân Phước Khánh 16, kp Khánh Hội, p Tân Phước Khánh, tp Tân Uyên, BD</t>
  </si>
  <si>
    <t>17/05/2025</t>
  </si>
  <si>
    <t>1 lần/3 tháng 1,4,7,10</t>
  </si>
  <si>
    <t>CÔNG TY TNHH JING YUAN</t>
  </si>
  <si>
    <t>07/04/2026</t>
  </si>
  <si>
    <t>Công ty TNHH KNW Việt Nam
74,002,127,T</t>
  </si>
  <si>
    <t>4 Ngưng HĐ 20/05/2025</t>
  </si>
  <si>
    <t>cẩu mang 20 bành</t>
  </si>
  <si>
    <t>4 Ngưng HĐ 23/05/2025</t>
  </si>
  <si>
    <t>CƠ SỞ NHÂN THÀNH</t>
  </si>
  <si>
    <t>TDĐS 505, TBĐS 14, Kp Khánh Long, P Khánh Bình, TU, BD</t>
  </si>
  <si>
    <t xml:space="preserve">1 - Bao bì mềm thải 18 01 01
2 - Bao bì cứng thải bằng nhựa 18 01 03
3 -Bao bì cứng thải bằng vật liệu khác (chai lọ thủy tinh) 18 01 04 </t>
  </si>
  <si>
    <t>4 28/05/2025 Cty của Tú</t>
  </si>
  <si>
    <t>Công ty TNHH Sơn Long Bảo Việt Nam</t>
  </si>
  <si>
    <t>CÔNG TY TNHH BAO BÌ LẬP HỢP</t>
  </si>
  <si>
    <t>TĐS 1617, TBĐS 39, Đường Khánh Bình 69, Kp Khánh Lộc, P Khánh Bình, Tp TU, BD</t>
  </si>
  <si>
    <t>28/05/2025</t>
  </si>
  <si>
    <t>TĐS 102, tờ bản đồ số 23, KP Long Bình, P Khánh Bình, Tp Tân Uyên, BD</t>
  </si>
  <si>
    <t>TĐS 102 TBĐS 23, KP Long Bình, P Khánh Bình, Tp Tân Uyên, BD</t>
  </si>
  <si>
    <t>Địa chỉ thu gom: Tại nhà máy Tetra Pak Bình Dương: Số 12 Vsip II-A, Dường Số 30, KCN VN Singapore IIA, Vình Tân, Tân Uyên, Bình Dương</t>
  </si>
  <si>
    <t>Ngưng HĐ 27/05/2025</t>
  </si>
  <si>
    <t>7 Ngưng HĐ 27/05/2025</t>
  </si>
  <si>
    <t>Lô B7, Ô 2, Đường D2, KCN Đất Cuốc, Xã Đất Cuốc, huyện Bắc Tân Uyên, Tỉnh Bình Dương,VN</t>
  </si>
  <si>
    <r>
      <rPr>
        <b/>
        <sz val="14"/>
        <rFont val="Times New Roman"/>
        <family val="1"/>
      </rPr>
      <t>.Địa điểm 1</t>
    </r>
    <r>
      <rPr>
        <sz val="14"/>
        <rFont val="Times New Roman"/>
        <family val="1"/>
      </rPr>
      <t>: tại Chi nhánh Công ty Cổ Phần Thương Mại – Chế Biến Gỗ Xuất Nhập Khẩu Ngọc Nga (Địa chỉ: Thửa đất số 459, Tờ bản đồ số 49, Ấp 1, xã Tân Mỹ, Huyện Bắc Tân Uyên, Bình Dương, Việt Nam)</t>
    </r>
  </si>
  <si>
    <r>
      <rPr>
        <b/>
        <sz val="14"/>
        <rFont val="Times New Roman"/>
        <family val="1"/>
      </rPr>
      <t>.Địa điểm 2</t>
    </r>
    <r>
      <rPr>
        <sz val="14"/>
        <rFont val="Times New Roman"/>
        <family val="1"/>
      </rPr>
      <t>: tại Công ty Cổ Phần Thương Mại – Chế Biến Gỗ Xuất Nhập Khẩu Ngọc Nga (Địa chỉ: Thửa đất số 436 – 457, Tờ bản đồ số 8, Tổ 2, Khu Phố Phước Hải, Phường Thái Hòa, Thị xã Tân Uyên, Tỉnh Bình Dương, Việt Nam)</t>
    </r>
  </si>
  <si>
    <t>Nylon, dây đai, mút xốp, gỗ vụn, giấy vụn, nhựa thải, giẻ lau, vải vụn, bao bì thải không nhiễm TPNH</t>
  </si>
  <si>
    <t>30/05/2028</t>
  </si>
  <si>
    <t>01 - Giẻ lau dính dầu	Rắn	18 02 01
02 - Pin thải – Axit chì	Rắn	16 01 12
03 - Kim loại dính dầu	Rắn	11 04 01
04 - Dầu thủy lực	Lỏng	17 01 06
05 - Dầu nhớt thải	Lỏng	15 01 07
06 - Rác y tế 	Rắn/lỏng	13 01 01
07 - Bóng đèn huỳnh quang và các loại chất thải chứa thủy ngân khác	Rắn	16 01 06
08 - Sơn thải, mực in	Rắn/lỏng	08 01 01
09 - Các loại dung môi thải	Lỏng	17 08 03
10 - Bao bì kim loại thải có chứa các chất độc hại	Rắn	18 01 02
11 - Bùn thải chứa các thành phần nguy hại	Bùn	12 06 05
12 - Giẻ lau, vật liệu lọc, chất hấp thụ có chứa các thành phần nguy hại	Rắn	18 02 01
13 - Chai rỗng chứa hóa chất/Sơn	Rắn	18 01 03
14 - Carbon hoạt tính	Rắn	12 01 04
15 - Các thiết bị, bộ phận linh kiện điện tử thải, bóng đèn led 16 01 13
16 - Bao bì mềm thải dính TPNH 18 01 01
17 - Than hoạt tính thải từ công trình xử lý khí thải 19 12 03</t>
  </si>
  <si>
    <t>Loô 2A1, Đường CN7, CN10, KCN Tân Bình, TT Tân Bình, Huyện Bắc Tân Uyên, Bình Dương, VN</t>
  </si>
  <si>
    <t>02/06/2025</t>
  </si>
  <si>
    <t>04/07/2027</t>
  </si>
  <si>
    <t>1 - Cặn sơn, dung môi thải 08 01 01 ( Rắn/Lỏng)
2 - Thùng kim loại đựng sơn, dung môi 18 01 02 ( Rắn )
3 - Bao bì , thùng chứa hoá chất, dầu nhớt thải 18  01 03 ( Rắn )
4 - Giẻ lau, bao tay dính dầu nhớt, dính TPNH 18 02 01 ( Rắn )
5 - Pin, ắc quy chì thải 16 01 02  ( Rắn )
6- Các loại dầu động cơ, hợp số và bôi trơn thải 17 02 04 (lỏng)
7- Bao bì mềm thải 18 01 01 (Rắn)
8- Than hoạt tính 18 02 01 (rắn)</t>
  </si>
  <si>
    <t>03/06/2025</t>
  </si>
  <si>
    <t>Chi Nhánh Công Ty Cổ Phần Miền Đông - Xí Nghiệp Sản xuất Đá Miền Đông
74.000.541.T</t>
  </si>
  <si>
    <t>01 lần/ 3tháng
7,10,1,4</t>
  </si>
  <si>
    <t>05/06/2025</t>
  </si>
  <si>
    <t>04/11/2026</t>
  </si>
  <si>
    <t>CÔNG TY TNHH DENEAST VIỆT NAM</t>
  </si>
  <si>
    <t>1 - Chất thải hầm cầu, bùn thải bể tự hoại</t>
  </si>
  <si>
    <t>25/04/2026</t>
  </si>
  <si>
    <t>Chi Nhánh Công Ty Cổ Phần Miền Đông</t>
  </si>
  <si>
    <t>Xã Thường Tân, H Bắc TU, BD</t>
  </si>
  <si>
    <t>1 lần/6 tháng 8,2</t>
  </si>
  <si>
    <t>Công ty TNHH Vượng Doanh
74.004.105.T</t>
  </si>
  <si>
    <t>08/06/2025</t>
  </si>
  <si>
    <t>20/06/2027</t>
  </si>
  <si>
    <t>Công ty Cổ phần Đầu tư Quân Chí</t>
  </si>
  <si>
    <t>Chất thải công nghiệp thông thường: Carton, nylon, dây đai, mút xốp, nhựa thải, pallet hỏng, da vụn, vải vụn.</t>
  </si>
  <si>
    <t>Chi Nhánh Công Ty TNHH MTV Công Nghiệp Hóa Chất Mỏ Nam Bộ - Micco Tại Bình Dương</t>
  </si>
  <si>
    <t>thửa đất số 366, tờ bản đồ số 31, ấp 3, Xã Thường Tân, Bắc Tân Uyên, BD</t>
  </si>
  <si>
    <t>1 - Giẻ lau dính dầu nhớt thải 18 02 01
2 - Bộ lọc dầu đã qua sử dụng 15 01 02
3 - Dầu nhớt thải 15 01 07
4 - Bóng đèn huỳnh quang và các loại thủy tinh hoạt tính thải 16 01 06
5 - Pin, ắc quy chì thai 19 06 01
6- Hộp mực in thải 08 02 04</t>
  </si>
  <si>
    <r>
      <t xml:space="preserve">01 lần/6tháng
</t>
    </r>
    <r>
      <rPr>
        <b/>
        <sz val="14"/>
        <rFont val="Times New Roman"/>
        <family val="1"/>
      </rPr>
      <t>11,05</t>
    </r>
  </si>
  <si>
    <t>Chất thải hầm cầu, bùn thải bể tự hoại, nước thải sinh hoạt</t>
  </si>
  <si>
    <t>Ngưng HĐ 05/06/2025</t>
  </si>
  <si>
    <t>Công ty TNHH Ace Furniture</t>
  </si>
  <si>
    <t>Lô B1, Đường N5, KCN Nam tân Uyên, P Khánh Bình, TP tân Uyên, BD, VN</t>
  </si>
  <si>
    <t>1 - Cặn sơn, sơn, vecni thải có dung môi hữu cơ hoăc các thành phần nguy hại 08 01 01(rắn)
2 - Bùn thải sơn hoăc vecni có dung môi hữu cơ hoặc các TPNH khác 08 01 02(bùn)
3 - Hộp mực in thải có các TPNH 08 02 04(rắn)
4 - Chất kết dính và chất bịt kín thải có dung môi hữu cơ TPNH khác 08 03 01(lỏng)
5 - Mùn cưa, phôi bào, đầu mẫu gỗ, gỗ thừa, ván và gỗ ván vụn thải có TPNH 09 01 01(rắn)
6 - Bóng đèn huỳnh quang thải và các loại thủy tinh hoạt tính 16 01 06(rắn)
7 - Các loại dầu động cơ, hộp số và bôi trơn thải 17 02 03(lỏng)
8 - Dầu thủy lực tổng hộp thải 17 01 06(lỏng)
9 - Các loại dung môi và hỗn hợp dung môi thải khác 17 08 03(lỏng)
10 - Bao bì mền thải 18 01 01(rắn)
11 - Bao bì cứng thải bằng kim loại bao gồm cả bình chứa áp suất đảm bảo rỗng hoàn toàn 18 01 02(rắn)
12 - Bao bì cứng thải bằng nhựa 18 01 03(rắn)
13 - Chất hấp thụ, vật liệu lọc, giẻ lau, vải bảo vệ bị nhiễm TPNH 18 02 01(rắn)
14 - Pin, ắc quy chì thải 19 06 01(rắn)
15 - Các loại chất thải khác chứa thành phần nguy hại hữu cơ 19 12 02(rắn)</t>
  </si>
  <si>
    <t>10/06/2025</t>
  </si>
  <si>
    <t>12/06/2025</t>
  </si>
  <si>
    <t>11/07/2026</t>
  </si>
  <si>
    <t>5 Đại kêu ngưng 12/06/2025</t>
  </si>
  <si>
    <t>4 lần/tháng</t>
  </si>
  <si>
    <t>5 Ngưng HĐ 12/06/2025</t>
  </si>
  <si>
    <t>4 Ngưng HĐ 12/06/2025</t>
  </si>
  <si>
    <t>1 - Chất phụ gia thải có các TPNH	Rắn/lỏng	03 02 09
2 - Bao bì cứng bằng kim loại bao gồm cả bính chứa áp suất đảm bảo rỗng hoàn toàn	Rắn	18 01 02
3 - Bao bì cứng thải bằng nhựa 	Rắn	18 01 03
4 - Hóa chất hữu cơ thải các loại 	Rắn	19 05 04
5 - Dầu truyền nhiệt và cách điện tổng hợp thải	Lỏng	17 03 04
6 - Dầu động cơ, hộp số và bôi trơn tổng hợp thải	Lỏng	17 02 03
7 - Dầu thủy lực tổng hợp thải	Lỏng	17 01 06
8 - Pin, ắc quy chì thải	Rắn	19 06 01
9 - Chất hấp thụ vật liệu lọc, giẻ lau, vải bảo vệ bị nhiễm thành phần nguy hại	Rắn	18 02 01
10 - Hộp mực in thải có các TPNH	Rắn	08 02 04
11 - Bóng đèn huỳnh quang thải và các loại thủy tinh hoạt tính	Rắn	16 01 06
12 - Các loại dung môi thải và hỗn hợp dung môi thải khác	Lỏng	17 08 03</t>
  </si>
  <si>
    <t>15/04/2025
16/06/2025</t>
  </si>
  <si>
    <t>CÔNG TY TNHH DASHON FURNITURE</t>
  </si>
  <si>
    <t>Số 37/3 KP Khánh Hội, P Tân Phước Khánh, TP TU, BD</t>
  </si>
  <si>
    <t>1 - Giẻ lau dính dầu nhớt thải, hóa chất 18 02 01
2 - Bao bì cứng thải bằng kim loại bao gồm cả bình chứa áp suất rỗng hoàn toàn 18 01 02
3 - Bóng đèn huỳnh quang thải 16 01 06
4 - Hộp mực in thải có chứa TPNH 08 02 04
5 - Pin, ắc quy chì thải 19 06 01
6 - Bao bì cứng thải băng nhựa dựng hóa chất, dầu nhớt 18 01 03
7 - Vật thể mài đã qua sử dụng 07 03 10
8 - Keo thải 08 03 01</t>
  </si>
  <si>
    <t>Đặng Thanh Thảo
0915580959</t>
  </si>
  <si>
    <t>17/06/2025</t>
  </si>
  <si>
    <t>CÔNG TY TNHH TIẾN ĐẠT FUTURES</t>
  </si>
  <si>
    <t>TĐS 869, TBĐS 39, KP Khánh Lộc, P Khánh Bình, TP TU, BD</t>
  </si>
  <si>
    <t>1 - Carton, nilon, dây đai, giấy vụn, bao bì, mút xốp, băng keo, sắt vụn, vải vụn, màng bóng, nhựa thải, cành cây khô, lá cây
2 - Pallet gỗ, gỗ vụn</t>
  </si>
  <si>
    <t>1 - Hộp mực in thải có các thành phần nguy hại 08 02 04
2 - Bóng đèn huỳnh quang và các loại thủy tinh hoạt tính thải 16 01 06
3 - Dầu thủy lực tổng hơp thải 17 01 06
4 - Các loại dầu động cơ, hộp số và bôi trơn thải khác 17 02 04
5 - Bao bì cứng bằng nhựa 18 01 03
6 - Chất hấp thụ, vật liệu lọc (bao gồm cả vật liệu lọc dầu chưa nêu tại các mã khác) , giẻ lau , vải bảo vệ thải bị nhiễm các thành phần nguy hại 18 02 01 (rắn)
7 - Pin, ắc quy chì thải 19 06 01</t>
  </si>
  <si>
    <t>12/12/2026</t>
  </si>
  <si>
    <t>1 lần/2 tháng 2,4,6,8,10,12</t>
  </si>
  <si>
    <t>2 lần/ tháng</t>
  </si>
  <si>
    <t>xe thùng, cần chứng từ, không có rác</t>
  </si>
  <si>
    <t xml:space="preserve">1 - Bóng đèn huỳnh quang 16 01 06
2 - Dầu nhớt thải 17 02 04
3 - Giẻ lau dính thành phần nguy hại 18 02 01
4 - Hộp mực in văn phòng thải 08 02 04
5 - Pin, ắc quy chì thải 19 06 01
6 - Bao bì nhựa cứng thải 18 01 03
7 - Bao bì mền dính thành phần nguy hại 18 01 01
8 - Chất thải chứa các tác nhân lây nhiễm 13 01 01
9- Nước thải có chứa mực in 19 10 01
10- Bao bì cứng thải bằng kim loại dính TPNH 18 01 02 </t>
  </si>
  <si>
    <t>1 - Hộp mực in có chứa thành phần nguy hại 08 02 04(Rắn)
2 - Bóng đèn huỳnh quang thải 16 01 06(Rắn)
3 - Các loại dầu động cơ, hộp số và bôi trơn thải khác 17 02 04 (lỏng)
4 - Bao bì mền 18 01 01(Rắn)
5 - Bao bí cứng bằng kim loại 18 01 02(Rắn)
6 - Chất hấp thụ, giẻ lau 18 02 01(Rắn)
7 - Pin, ắc quy chì thải 19 06 01(Rắn)</t>
  </si>
  <si>
    <t xml:space="preserve">Chất thải rắn công nghiệp thông thường
1 - Bùn thải
2 - Mì ướt
3 - Dầu sa tế
4 - Carton, nilon, giấy vụn, …
5 - Bao bì hư
</t>
  </si>
  <si>
    <t>6 - Nguyên liệu bột gia vị, gối bột gia vị</t>
  </si>
  <si>
    <t>Phụ lục bổ sung chất thải</t>
  </si>
  <si>
    <t>18/06/2025</t>
  </si>
  <si>
    <t>Thửa đất số 2, TBĐ số 17, KP 6, Phường Vĩnh tân, TP Tân Uyên, Tỉnh Bình Dương</t>
  </si>
  <si>
    <t>1 - Chất hấp thụ, vật liệu lọc ( bao gồm cả vật liệu lọc dầu chưa nêu tại các mã khác), giẻ lau, vải bảo vệ thải bị nhiễm các TPNH 18 02 01( Rắn )
2 - Các loại dầu động cơ, hộp số và bôi trơn thải 17 02 04 ( Lỏng)
3 - Bóng đèn huỳnh quang và các loại thủy tinh hoạt tính thải 16 01 06( Rắn )
4 - Bao bì mền thải 18 01 01( Rắn )
5 - bao bì cứng bằng kim loại bao gồm cả bình chưa áp suất đảm bảo rỗng hoàn toàn 18 01 02( Rắn )
6 - Hộp mực in thải có các TPNH 08 02 04 ( Rắn )</t>
  </si>
  <si>
    <t>Công ty TNHH Cheng Chia Wood</t>
  </si>
  <si>
    <r>
      <t xml:space="preserve">Khu 8, Phường Uyên Hưng,TX Tân Uyên, Bình Dương
</t>
    </r>
    <r>
      <rPr>
        <b/>
        <sz val="14"/>
        <rFont val="Times New Roman"/>
        <family val="1"/>
      </rPr>
      <t xml:space="preserve">Địa chỉ thu gom: Cụm công nghiệp Phú Chánh 1, phương Phú Chánh, TP Tân Uyên, Bình Dương </t>
    </r>
  </si>
  <si>
    <t>1- Chất hấp thụ vật liệu lọc, giẻ lau, vải bảo vệ thải bị nhiễm TPNH  18 02 01(Rắn)
2- Các loại dầu động cơ hộp số và bôi trơn thải 17 02 04(Lỏng)
3- Bao bì cứng bằng kim loại bao gồm cả bình chứa áp suất đảm bảo rỗng hoàn toàn 18 01 02 (rắn)
4- Bao bì cứng thải bằng nhựa 18 01 03
5- Hóa chất và hỗn hợp hóa chất phòng thí nghiệm thải có TPNH 19 05 02
6- Hộp mực in thải có các TPNH 08 02 04(Rắn)
7- Bóng đèn huỳnh quang và các loại thủy tinh hoạt tính 16 01 06(Rắn)
8- Bùn thải có các TPNH từ quá trình xử lý nước thải khác của hệ thống xử lý nước thải tập trung của các khu công nghiệp có các ngành nghề sẳn xuất, điều chế hóa chất vô cơ, hữu cơ, xử lý che phủ về mặt gia công kim loại và các vật liệu khác 12 06 05 ( bùn)
9- Pin, ắc quy chì thải  19 06 01(Rắn)
10- Bao bì mềm thải 18 01 01(Rắn)</t>
  </si>
  <si>
    <t>ĐX 002, KP 1, Xã Tân Bình, TT Tân Bình, H Bắc tân Uyên, Tỉnh Bình Dương</t>
  </si>
  <si>
    <t>1 - Xỉ thép 05 08 06
2 - Hộp mực in thải 08 02 04
3 - Bóng đèn huỳnh quang thải 16 01 06
4 - Dầu nhớt thải 17 02 04
5 - Bao bì cứng đựng dầu nhớt bằng nhựa 18 01 03
6 - Giẻ lau, bao tay dính dầu nhớt thải 18 02 01
7 - Pin, ắc quy chì thải 19 06 01</t>
  </si>
  <si>
    <t>01 lần/6tháng
4,10</t>
  </si>
  <si>
    <t>xe bồn xanh</t>
  </si>
  <si>
    <t>4 Ngưng HĐ 01/07/2025</t>
  </si>
  <si>
    <t>7 Ngưng HĐ 21/06/2025</t>
  </si>
  <si>
    <t>TĐS 726, TBĐS 28, Đường Nguyễn Khuyến, Kp Tân Bình, P Tân Hiệp, Tp TU, BD</t>
  </si>
  <si>
    <t>1 lần/6 tháng 4,10</t>
  </si>
  <si>
    <t>25/06/2025</t>
  </si>
  <si>
    <t>1 - Chất kết dính và chất bịt kín thải có dung môi hữu cơ hoặc các thành phần nguy hại khác 08 03 01
2 - Hộp mực in thải có các thành phần nguy hại 08 02 04
3 - Bóng đèn huỳnh quang và các loại thuy tinh hoạt tính thải 16 01 06
4 - Dầu thuy lực tổng hợp thải 17 01 06
5 - Các loại dầu động cơ, hộp số và bôi trơn thải khác 17 02 04
6 - Bao bì mềm thải 18 01 01
7 - Bao bì cứng thải bằng kim loại bao gồm cả bình chứa áp suất bảo đảm rỗng hoàn toàn 18 01 02
8 - Bao bì cứng thải bằng nhựa 18 01 03
9 - Chất hấp thụ, vật liệu lọc (bao gồm cả vật liệu lọc dầu chưa nêu rại các mã khác), giẻ lau, vải bảo vệ thải bị nhiêm các thành phần nguy hại 18 02 01
10 - Pin, ắc quy chì thải 19 06 01
11 - Các loại chất thải có các thành phần nguy hại hữu cơ 19 12 02
12 - Cặn sơn thải 08 01 01</t>
  </si>
  <si>
    <t>Ngưng HĐ 23/06/2025</t>
  </si>
  <si>
    <t>7 Ngưng HĐ 23/06/2025</t>
  </si>
  <si>
    <t>Ngưng HĐ 21/06/2025</t>
  </si>
  <si>
    <t>Công Ty TNHH An Thành Lộc</t>
  </si>
  <si>
    <t xml:space="preserve">Chất thải rắn công nghiệp thông thường
1 - Bùn thải
2 - Mì ướt
3 - Dầu sa tế
5 - Bao bì hư
</t>
  </si>
  <si>
    <t>01 lần/06tháng
4,10</t>
  </si>
  <si>
    <t>4 Thành kêu ngưng</t>
  </si>
  <si>
    <t>3 Thành kêu ngưng</t>
  </si>
  <si>
    <t>9676</t>
  </si>
  <si>
    <t>1 lần/ tuần</t>
  </si>
  <si>
    <t>Ngưng HĐ 30/06/2025</t>
  </si>
  <si>
    <t>7 Ngưng HĐ 30/06/2025</t>
  </si>
  <si>
    <t>số 26 vsip II-A, đường số 32, KCN Việt Nam Singapore II-A, P Vĩnh Tân, TP HCM</t>
  </si>
  <si>
    <t xml:space="preserve">thửa đất số 1010, tờ bản đồ số 29, Phường Tân Hiệp, TP HCM
</t>
  </si>
  <si>
    <t>Số 1 Đường số 3, Khu Công Nghiệp Việt Nam – Singapore III, Phường Bình Cơ, TP HCM</t>
  </si>
  <si>
    <t>Lô 2H3, đường CN7, CN4, KCN Tân Bình, P Vĩnh Tân, TP HCM</t>
  </si>
  <si>
    <t>CÔNG TY TNHH TECHBOND MFG (VIỆT NAM)
74.004.167.T</t>
  </si>
  <si>
    <t>CÔNG TY TNHH COSMOS</t>
  </si>
  <si>
    <t>1 - Bao bì mềm, nilon, giấy nhiễm các TPNH 18 01 01
2 - Giẻ lau dính TPNH 18 02 01
3 - Bao bì cứng thải bằng kim loại 18 01 02
4 - Bao bì cứng thải bằng nhựa 18 01 03
5 - Bóng đèn huỳnh quang thải 16 01 06
6 - Pin, ắc quy chì thải 19 06 01</t>
  </si>
  <si>
    <t>05/07/2025</t>
  </si>
  <si>
    <t>Công ty TNHH Kỹ thuật In ấn Yong Mei
71.003.552.T</t>
  </si>
  <si>
    <t>theo yêu cầu
tháng 12/2025 ; 06/2026</t>
  </si>
  <si>
    <t>Công ty TNHH C &amp; H VINA</t>
  </si>
  <si>
    <t xml:space="preserve">Một phần thửa đất số 765, tờ bản đồ số 43, tổ 6, khu 5, Phường Uyên Hưng, TP Tân Uyên, Tỉnh Bình Dương
</t>
  </si>
  <si>
    <t xml:space="preserve">1-  giẻ lau dính dầu nhớt  18 02 01   (rắn)
2- Bóng đèn huỳnh quang thải và các loại thủy tinh hoạt tính 16 01 06(rắn)
3- Các loại dầu động cơ hộp số và bôi trơn thải 17 02 04(lỏng) 
4 - Bao bì mềm (đã chứa chất khi thải ra là CTNH) thải 18 01 01(rắn)
5- hộp mực in thải có chứa TPNH 08 02 04(rắn)
6 - pin ắc quy chì thải 19 06 01(rắn)
7- Bùn thải từ hệ thống xử lý nước thải sinh hoạt 12 06 05 (bùn)
</t>
  </si>
  <si>
    <t>21/05/2026</t>
  </si>
  <si>
    <t>KP Ông Đông, P Tân hiệp, TP Tân Uyên, BD</t>
  </si>
  <si>
    <t>1 - Màng sơn, cặn sơn thải 08 01 01
2 - Keo thải 08 03 01
3 - Dầu nhớt thải 17 02 04
4 - Dung môi thải 17 08 03
5 - Vải lau, găng tay dính hóa chất 18 02 01</t>
  </si>
  <si>
    <t>Công ty TNHH sản xuất Và Thương Mại Lâm Thịnh
74.000.828.T</t>
  </si>
  <si>
    <t>Thửa đất số 1114, TBĐ số 16, KP Khánh Long, Phường Tân Phước Khánh, TP Tân Uyên, BD</t>
  </si>
  <si>
    <t>1 - Chất hấp thụ, vật liệu lọc (bao gồm cả vật liệu lọc dầu chưa nêu tại các mã khác), giẻ lau, vải bảo vệ thải nhiễm TPNH 18 02 01(rắn)
2 - Bóng đèn huỳnh quang và cá loại thủy tinh hoạt tính thải 16 01 06(rắn)
3  -Bao bì cứng thải bằng kim loại bao gồm bình áp suất rỗng hoàn toàn 18 01 02(rắn)
4 - Bao bì cứng thải bằng nhựa 18 01 03(rắn)
5 - Pin, ắc quy chì thải 19 06 01(rắn)
6 - Nước thải chứa mực in 08 02 01(lỏng)
7 - Các loại dầu động cơ, hộp số và bôi trơn thải 17 02 04(lỏng)</t>
  </si>
  <si>
    <t>CHI NHÁNH CẤP NƯỚC KHU LIÊN HỢP - CÔNG TY CỔ PHẦN - TỔNG CÔNG TY NƯỚC - MÔI TRƯỜNG BÌNH DƯƠNG</t>
  </si>
  <si>
    <t>Sô 303, đường số 85, KP Tân Phú, P Tân Hiệp, TP Tân Uyên, BD</t>
  </si>
  <si>
    <t>1- Hộp mực in thải có chứa TPNH 08 02 04 (rắn)
2- Bóng đèn huỳnh quang thải 16 01 06 (rắn)
3- Các loại dầu động cơ, hợp số và bôi trơn thải 17 02 04 (lỏng)
4- Bao bì mền thải 18 01 01 (rắn)
5- Bao bì cứng thải bằng kim loại bao gồm cả bình chứa áp suất rỗng hoàn toàn 18 01 02 (rắn)
6- Bao bì cứng thải bằng nhựa 18 01 03 (rắn)
7- Chất hấp thụ, vật liệu lọc, giẻ lau, vải bảo vệ không dính TPNH 18 02 01 (rắn)
8- Hóa chát và hỗn hợp hóa chất phòng thí nghiệm có chứa chất nguy hại 19 05 02 (rắn/lỏng)
9- Pin, ắc quy chì thải 19 06 01 (rắn)</t>
  </si>
  <si>
    <t>08/07/2025</t>
  </si>
  <si>
    <t>CÔNG TY TNHH ĐIỆN CƠ NAM VIỆT</t>
  </si>
  <si>
    <t>TĐS 904, TBĐS 10, Khu phố Khánh Lộc, Phường Tân Phước Khánh, TP Tân Uyên, BD</t>
  </si>
  <si>
    <t>Mút xốp, dây đai, bao bì giấy, gỗ vụn, pallet hư, nilon, vải vụn, carton, kim loại, nhựa</t>
  </si>
  <si>
    <t>Số 6, đường số 20, khu công nghiệp Việt Nam – Singapore II-A, phường Vĩnh Tân, thành phố Tân Uyên, tỉnh Bình Dương, Việt Nam.</t>
  </si>
  <si>
    <t>TĐS 172,35, TBĐS 39, Đường TL 747B, Tổ 6, Kp 7, P Uyên Hưng, TP Tân Uyên, BD</t>
  </si>
  <si>
    <t>1 - Giẻ lau dính hóa chất 18 02 01(rắn)
2 - Hộp mực in 08 02 04(rắn)
3 - Pin, ắc quy chì thải 19 06 01(rắn)
4 - Dầu nhớt thải 17 02 04(lỏng)
5 - Bóng đèn huỳnh quang 16 01 06(rắn)
6 - Keo thải 08 03 01(keo)
7 - Dung môi thải 17 08 03(lỏng)
8 - Thùng đựng dầu nhớt bằng nhựa 18 01 03(rắn)
9 - Thùng đựng keo, dung môi bằng kim laoi 18 01 02(rắn)
10 - Lon thiết 18 01 02
11 - Bao bì dính hóa chất 18 01 01</t>
  </si>
  <si>
    <t>1 - Axit tẩy thải 07 01 01(lỏng)
2 - Dầu tổng hơp thải từ quá trình gia công tạo hình 07 03 05(lỏng)
4 - Phôi từ qua trình gia công tạo hình hoặc vật liệu mài ra lẫn dầu, nhũ tương hay dung dịch thải có dầu hoặc các thành phần nguy hại 07 03 11(rắn)
5 - Hộp mực in thải có các TPNH 08 02 04(rắn)
6 - Bóng đèn huỳnh quang và các loại thủy tinh hoạt tính thải 16 01 06 (rắn)
7 - Dầu thủy lực tổng hợp thải 17 01 06(lỏng)
8 - Các loại dầu động cơ, hộp số và bôi trơn thải 17 02 04(lỏng)
9 - Bao bì cứng thải bằng kim loại bao gồm cả bình chứa ấp suất rỗng hoàn toàn 18 01 02(rắn)
10 - Bao bì cứng thải bằng nhựa 18 01 03(rắn)
11 - Chất hấp thụ, vật liệu lọc (bao gồm cả vật liệu lọc dầu chưa nêu tại các mã khác), giẻ lau vải bảo vệ nhiễm TPNH 18 02 01(rắn)
12 - Hóa chất vô cơ thải bao gồm hoặc có các TPNH 19 05 03(rắn)
13 - Hóa chất hữu cơ thải bao gồm hoặc có các TPNH 19 05 04(rắn)
14 - Pin, ắc quy thải 19 06 01(rắn)</t>
  </si>
  <si>
    <t>thửa đất số 1217, tờ bản đồ số 16, Khu phố Khánh Long, Phường Tân Phước Khánh, TP Tân Uyên, Tỉnh Bình Dương</t>
  </si>
  <si>
    <t>09/07/2025</t>
  </si>
  <si>
    <t>TĐS 952, TBĐS 49, Tổ 4, Khu phố 8, P Uyên Hưng, TP Tân uyên, BD</t>
  </si>
  <si>
    <t>1 - Bóng đèn huỳnh quang thải 16 01 06  rắn)
2 - Giẻ lau dính dầu nhớt, keo 18 02 01 rắn)
3 - Cặn keo thải 08 01 03  rắn)
4 - Bùn từ hệ thống xử lý nước thải 12 06 05 ( Bùn )
5- Bao bì cứng thải bằng kim loại bao gồm cả bình áp suất rỗng hoàn toàn 18 01 02(rắn)</t>
  </si>
  <si>
    <t>Công ty Cổ Phần Bê Tông Ly Tâm Thủ Đức 1
74,000,681,T</t>
  </si>
  <si>
    <t>CÔNG TY TNHH TESLA FURNITURE</t>
  </si>
  <si>
    <t>Số 10, Đường DX04, Khu phố Tân Hóa, Phường Tân Vĩnh Hiệp, TP Tân Uyên, BD</t>
  </si>
  <si>
    <t>Carton, nylon, dây đai, mút xốp, foam, giấy vụn, bao bì, băng keo, vải vụn, gỗ vụn, sắt vụn, nhựa thải, màng PE, bao tay, giấy nhám không dính TPNH</t>
  </si>
  <si>
    <t>13/07/2025</t>
  </si>
  <si>
    <t>CÔNG TY TNHH QUỐC TẾ TẤN PHÁT</t>
  </si>
  <si>
    <t>Số 205/E, ấp 2, phường Hội Nghĩa, TP Tân Uyên, tỉnh Bình Dương, Việt Nam</t>
  </si>
  <si>
    <t>1- Hộp mực in thải có các thành phân nguy hại 08 02 04 (rắn)
2- Bóng đèn huỳnh quang thải và các loại thủy tinh hoạt tính thải 16 01 06 (Rắn)
3- Các loại dầu động cơ, hộp số và bôi trơn thải khác 17 02 04 (lỏng)
4- Bao bì cứng thải bằng nhựa 18 01 03 (rắn)
5 - Chất hấp thụ, vật liệu lọc (bao gồm cả vật liệu lọc dầu chưa nêu tại các mã khác), giẻ lau, vải bảo vệ thải bị nhiễm các thành phần nguy hại 18 02 01 (rắn)
6- Pin, ắc quy chì thải 19 06 01 (rắn)</t>
  </si>
  <si>
    <t>Số 34/1, tổ 2, Khu phố Khánh Lộc, Phường Khánh Bình, TP Tân Uyên, BD</t>
  </si>
  <si>
    <t>1 - Bóng đèn huỳnh quang thải 16 01 06
2 - Giẻ lu dính dầu nhớt, găng tay dính dầu nhớt 18 02 01
3 - Pin ắc quy thải các loại 19 06 01
4 - Thùng kim loại chứa sơn, dung môi, dầu nhớt 18 01 02
5 - Sơn thải 08 01 01
6 - Hộp mực in thải 08 02 04
7 - Dung môi thải 17 08 03
8 - Dầu nhớt thải 17 02 03
9 - Phôi từ quá trình tạo hính dính TPNH 07 03 11
10 - Vật thể mài đã qua sử dụng có các TPNH (ví dụ đá mài, giấy ráp,...) 07 03 10
11 - Axit thải 16 01 02
12- Cát xỉ từ quá trình sản xuất 05 07 01
13- Bụi cát mài bóng có các thành phần nguy hại 07 03 08
14- Bùn từ HTXL nước thải trong quá trình sản xuất các sản phẩm bằng kim loại 12 06 05</t>
  </si>
  <si>
    <t>Chất thải hầm cầu, bùn thải từ bể tự hoại</t>
  </si>
  <si>
    <t>CÔNG TY CỔ PHẦN KÍNH VINACAM</t>
  </si>
  <si>
    <t>Số 14/2, tổ 1, Kp Khánh Lộc, P Khánh Bình, Tp TU, BD</t>
  </si>
  <si>
    <t>Mút xốp, dây đai, bao bì giấy, gỗ vụn, pallet hư, nilon, vải vụn, carton, gỗ vụn, foam</t>
  </si>
  <si>
    <t>119 Điện Biên Phủ, P Đa Kao, quận 1, TP.HCM, VN
Địa chỉ thu gom: Chi Nhánh Công ty Cổ Phần Gạch Ngói Đồng Nai - Nhà Máy Gạch Ngói Việt Đức (thửa đất số 55, Đường ĐT 747, Kp 7, P Uyên Hưng, Tp Tân Uyên, BD)</t>
  </si>
  <si>
    <t>Carton, nylon, dây dai, mút xốp, mùn cưa, gỗ vụn</t>
  </si>
  <si>
    <t>1- Hộp mực in thải có các TPNH 08 02 04
2- Bóng đèn led thải 16 01 13
3- Dầu nhớt thải 17 02 03
4- Bao bì mền thải 18 01 01 
5- Bao bì cứng thải bằng nhựa nhiễm TPNH 18 01 03
6- Giẻ lau dính TPNH 18 02 01
7- Bóng đèn huỳnh quang và các loai thủy tinh hoạt tính thải 16 01 06
8- Pin, ắc quy chì thải 19 06 01
9- Bùn từ HTXL nước thải sản xuất 12 06 05
10 - Bao bì cứng thải bằng kim loại nhiễm TPNH 18 01 02
11 - Than hoạt tính 12 01 04
12 - Hòa chất và hỗn hợp hóa chất thải (bột màu, chất xúc tác)</t>
  </si>
  <si>
    <t>CHI NHÁNH BÌNH DƯƠNG - CÔNG TY TNHH ZHI CHENG PRINTING</t>
  </si>
  <si>
    <t>TĐS 214, TBĐS 59, Đường ĐT 747A, Tổ 5, Khu phố 7, Phường Uyên Hưng, TP Tân Uyên, BD</t>
  </si>
  <si>
    <t>1 - Carton, nilon, dây đai, giấy vụn, decal, bao bì, mút xốp, băng keo, vải vụn, màng bóng, nhựa thải
2 - Tro xỉ lò đốt</t>
  </si>
  <si>
    <t>14/07/2025</t>
  </si>
  <si>
    <t>1 lần/ 6 tháng 07/2025 01/2026</t>
  </si>
  <si>
    <t>Công ty TNHH MTV Grand Wood (Việt Nam)
74.003.026.T</t>
  </si>
  <si>
    <t>TĐ số 370, tờ bản đồ số 18, Khu phố 1, Phường Hội Nghĩa, TP Tân Uyên, BD</t>
  </si>
  <si>
    <t>1 - Cặn sơn, sơn và véc ni thải có dung môi hữu cơ hoặc thành phần nguy hại 08 01 01 (lỏng)
2 - Chất kế dính, chất bịt kín thải có dung môi hữu cơ hoặc thành phần nguy hại khác 08 03 01
3 - Hộp mực in thải có chứa TPNH 08 02 04
4 - Bùn thải có các thành phần nguy hại từ các quá trình xử lý nước thải công nghiệp khác 12 06 05
5 - Bóng đèn huỳnh quang thải 16 01 06
6 - Các loại dầu động cơ, hộp số và bôi trơn thải 17 02 04
7 - Các loại dung môi và hỗn hợp dung môi thải khác 17 08 03
8 - Thùng chứa keo sơn, dung môi, dầu nhớt sau sử dụng bằng kim loại 18 01 02 
9 - Thùng chứa keo sơn, dung môi, dầu nhớt sau sử dụng bằng nhựa 18 01 03
10 - Giẻ lau dính keo, sơn, dung môi, dầu nhớt 18 02 01 (rắn)
11 - Pin, ắc quy chì thải 19 06 01</t>
  </si>
  <si>
    <t>18/07/2025</t>
  </si>
  <si>
    <t>Nylon, dây đai, mút xốp, gỗ vụn, carton, mùn cưa</t>
  </si>
  <si>
    <t>Khu Phố Bình Khánh, Phường Tân Hiệp, TP HCM</t>
  </si>
  <si>
    <t>Lô A2.4 đường N1, Khu B, Khu công nghiệp Đất Cuốc, Xã Bắc Tân Uyên, Thành phố Hồ Chí Minh, Việt Nam</t>
  </si>
  <si>
    <t>Ngưng HĐ 23/07/2025</t>
  </si>
  <si>
    <t>Công ty Cổ Phần Uniben</t>
  </si>
  <si>
    <t>29/07/2025</t>
  </si>
  <si>
    <t>CÔNG TY TNHH CÔNG NGHIỆP YEI JER (VIỆT NAM)</t>
  </si>
  <si>
    <t>Khu phố Mỹ Hiệp, phường Thái Hòa, TP. Tân Uyên, tỉnh. Bình Dương</t>
  </si>
  <si>
    <t>Đế phế EVA, PU công nghiệp các loại (không nguy hại)</t>
  </si>
  <si>
    <t>Thửa đất số 1018, tờ bản đồ số 29, KP Bình Khánh, Phường Khánh Bình, TP Tân Uyên, Bình Dương</t>
  </si>
  <si>
    <t>1 - Dầu tổng hợp thải từ quá trình gia công tạo hình 07 03 05
2 - Phoi từ quá trình gia công tạo hình hoặc vật liệu bì mài ra lẩn dầu, nhũ tương hay dung dịch thải có dầu hoặc các TPNH 07 03 11
3 - Hộp mực in thải có các tp nguy hại 08 02 04
4 - Bóng đèn huỳnh quang và các loại thủy tinh hoạt tính thải 16 01 06
5 - Dầu thủy lực tổng hợp thải 17 01 06
6 - Các loại dầu động cơ, hộp số và bôi trơn thải khác 17 02 04
7 - Các loại dầu truyền nhiệt và cách điện thải khác 17 03 05
8 - Bao bì cứng thải bằng kim loại bao gồm cả bình chứa áp suất bảo đảm rỗng hoàn toàn 18 01 02
9 - Chất hấp thụ, vật liệu lọc (bao gồm cả vật liệu lọc dầu chưa nêu tại các mã khác), giẻ lau, vải bảo vệ thải bị nhiễm các TPNH 18 02 01
10 - Pin, ắc quy chì thải 19 06 01
11- Vật thể dùng để mài đã qua sử dụng có các TPNH ( đá mài, giấy ráp,...) 07 03 10</t>
  </si>
  <si>
    <t>1 - Giẻ lau dính dầu mỡ, dung môi, sơn thải; 18 02 01 ( Rắn)
2 - Cặn sơn thải; 08 01 02 ( Bùn)
3 - Bao bì, thùng dính sơn và keo thải; 18 01 01 ( Rắn)
4 -  Bùn từ hệ thống xử lý nước thải; 12 06 05 ( Rắn)
5 -  Hộp mực in thải; 08 02 04 ( Rắn)
6 -  Dầu nhớt thải; 17 02 04( Lỏng)
7 -  Pin, ắc quy chì thải; 19 06 01 ( Rắn)
8 - Bóng đèn huỳnh quang thải; 16 01 06 ( Rắn)
9 -  Keo thải; 08 03 01 ( Lỏng)
10 - Dung môi thải. 08 01 05( Lỏng)</t>
  </si>
  <si>
    <t>30/07/2025</t>
  </si>
  <si>
    <t>Công ty TNHH Môi trường Thuận Giao Phát</t>
  </si>
  <si>
    <t>Tổ 4, Khu phố Mỹ Hiệp, P Tân Đông Hiệp, TP HCM</t>
  </si>
  <si>
    <t>01	Bao bì thải bằng kim loại	Rắn	18 01 02
02	Bao bì thải cứng thải bằng nhựa	Rắn	18 01 03</t>
  </si>
  <si>
    <t>TĐS 361, TBĐ số 08, Khu phố Phước hải, Phường Tân Khánh, TP HCM</t>
  </si>
  <si>
    <t>1 - Thùng đựng sơn, dầu nhớt, dung môi, bao bì đựng keo thải; 18 01 01(rắn)
2 -  Giẻ lau, bông gòn dính sơn, dung môi, dầu nhớt, keo thải;  18 02 01(rắn)
3 - Cặn sơn thải;  08 01 01(rắn)
4 - Dung môi thải; 17 08 03(lỏng)
5 -  Dầu nhớt thải; 17 03 05(lỏng)
6 -  Bóng đèn huỳnh quang thải;16 01 06(rắn)
7 -  Hộp mực in thải; 08 02 04(rắn)
8 -  Pin ắc quy chì thải;  19 06 01(rắn)
9 - Bùn thải từ hệ thống xử lý nước thải. 12 06 05(bùn)</t>
  </si>
  <si>
    <t>Khu phố Khánh Vân, Phường Tân Hiệp, TP HCM</t>
  </si>
  <si>
    <t>1 - Các vật liệu mài dạng hạt thải có các thành phần nguy hại (cát, bột mài,...) 07 03 08(rắn)
2 - Vật thể dùng để mài đã qua sử dụng có các thành phần nguy hại (ví dụ đá mài, giấy ráp,...) 07 03 10 (rắn)
3 - Phoi từ quá trình gia công tạo hình hoăc vật liệu bị mài ra lẫn dầu, nhũ tương hay dung dịch thải có dầu hoặc các TPNH khác 07 03 11(rắn)
4 - Que hàn thải có các kim loại nặng hoăc thành phần nguy hại 07 04 01(rắn)
5 - Hộp mực in thải có các thành phần nguy hại 08 02 04(rắn)
6 - Bóng đèn huỳnh quang và các loại thủy tinh hoạt tính thải 16 01 06(rắn)
7 - Dầu động cơ, hộp số và bôi trơn tổng hợp thải 17 02 03(lỏng)
8 - Bao bì mền thải 18 01 01(rắn)
9 - Bao bì cứng thải bằng kim loại bao gồm cả bình chứa áp suất bảo đảm rỗng hoàn toàn 18 01 02(rắn)
10 - Bao bì cứng bằng nhựa 18 01 03(rắn)
11 - Chất hấp thụ, vật liệu lọc (bao gồm cả vật liệu lọc dầu chưa nêu tại các mã khác), giẻ lau, vải bảo vệ thải bị nhiễm TPNH 18 02 01(rắn)
12 - Pin, ắc quy chì thải 19 06 01(rắn)</t>
  </si>
  <si>
    <t>Công ty TNHH TOC (Việt Nam)
74.000.017.T</t>
  </si>
  <si>
    <t>1 - Bóng đèn huỳnh quang thải 16 01 06(rắn)
2 - Giẻ lau dính keo, dung môi, sơn, dầu nhớt 18 02 01(rắn)
3 - Thùng chứa sơn, dung môi, dầu nhớt sau sử dụng bắng nhựa 18 01 03(rắn)
4  - Thùng chứa sơn, dung môi, dầu nhớt sau sử dụng bằng kim loại 18 01 02 (rắn)
5 - Cặn sơn, sơn và vecni thải 08 01 01(rắn)
6 - Bùn thải lẫn sơn và vecni thải 08 01 02(bùn)
7- Dung môi tẩy sơn và vec ni thải 08 01 05(lỏng)
8 - Keo thải 08 03 01(lỏng)
9 - Bùn từ hệ thống xử lý nước thải sản xuất 12 06 05(bùn)</t>
  </si>
  <si>
    <t>Công ty TNHH East - West Seed ( Hai mũi tên đỏ )</t>
  </si>
  <si>
    <t>Số 1 vsip II-A, đường số 14, KCN VN Singapor II A, Phường Vĩnh Tân, TP HCM</t>
  </si>
  <si>
    <t>Công ty TNHH East - West Seed ( Hai mũi tên đỏ )
74,002,516,T</t>
  </si>
  <si>
    <t>1 - Giẻ lau găng tay nhiễm hóa chất 18 02 01(rắn)
2 - Dầu tổng hợp thải 17 02 04(lỏng)
3 - Pin, ắc quy chì thải 19 06 01(rắn)
5 - Hộp mực in thải 08 02 04(rắn)
5 - Bóng đèn huỳnh quang thải 16 01 06(rắn)
6 - Thùng bằng kim loại dính thành phần nguy hại 18 01 02(rắn)
7 - Bao bì kim loại 18 01 02(rắn)
8 - Thuốc bảo vệ thực vật 14 01 04(lỏng)
9 - Sản phẩm thải nhiễu hóa chất 19 03 01(rắn)
10 - Cuộn băng in nhãn (dải băng nhựa có dinh mực in) 08 02 04(rắn)
11 - Thùng nhựa dính thành phần nguy hại 18 01 03(rắn)
12 - Chai thủy tinh dính thành phần nguy hại 18 01 04(rắn)
13 - Nước rửa hóa chất 03 04 01(lỏng)</t>
  </si>
  <si>
    <t>Lô M1, M2, M7, M8, Đường N2, N3, KCN Nam Tân Uyên mở rộng, Phường Bình Cơ, TP HCM</t>
  </si>
  <si>
    <r>
      <t>Chi nhánh Công ty cổ phần Tekcom - Nhà máy 2 (</t>
    </r>
    <r>
      <rPr>
        <b/>
        <sz val="14"/>
        <rFont val="Times New Roman"/>
        <family val="1"/>
      </rPr>
      <t>Lô A1, A2,A3,A4,A5, đường N5, KCN Nam Tân Uyên mở rộng, Phường Bình Cơ, TP HCM)</t>
    </r>
  </si>
  <si>
    <t>7 Ngưng HĐ 04/08/2025</t>
  </si>
  <si>
    <t>5 Ngưng HĐ 04/08/2025</t>
  </si>
  <si>
    <t>Ngưng HĐ 04/08/2025</t>
  </si>
  <si>
    <t>5 Đại báo chuyển qua Theo Yêu Cầu</t>
  </si>
  <si>
    <t>1 - Hộp mực in thải có các thành phần nguy hại 08 02 04( Rắn)
2 - Bùn thải có các thành phần nguy hại từ quá trình xử lý nước thải công nghiệp khác 12 06 05( Rắn)
3 - Bóng đèn huỳnh quang và các loại thủy tinh hoạt tính thải thải 16 01 06( Rắn)
4 - Các loại dầu động cơ, hộp số và bôi trơn thải khác 17 02 04( Lỏng)
5 - Bao bì mền thải 18 01 01( Rắn)
6 - Bao bì cứng thải bằng kim loại bao gồm cả bình chứa áp suất bảo đảm rỗng hoàn toàn 18 01 02( Rắn)
7 - Bao bì cứng thải bằng nhựa 18 01 03( Rắn)
8 - Chất hấp thụ, vật liệu lọc (bao gồm cả vật liệu lọc dầu chưa nêu tại các mã khác), giẻ lau, vải bảo vệ thải bị nhiễm các TPNH 18 02 01( Rắn)</t>
  </si>
  <si>
    <r>
      <t>01 lần/6tháng 4,</t>
    </r>
    <r>
      <rPr>
        <b/>
        <sz val="14"/>
        <rFont val="Times New Roman"/>
        <family val="1"/>
      </rPr>
      <t>10</t>
    </r>
  </si>
  <si>
    <t>Chi Nhánh Công ty Cổ Phần Đầu Tư Và Xây Dựng 3-2 - Xí Nghiệp Cống Bê Tông
74.003.263.T</t>
  </si>
  <si>
    <t>Lô 2F4, Đường CN6, KCN Tân Bình, Phường Vĩnh Tân, TP HCM</t>
  </si>
  <si>
    <t>01 - Giẻ lau, bao tay dính dầu nhớt hay thành phần nguy hại 18 02 01
02 - Bao bì đựng dầu nhớt, đựng keo bằng nhựa thải 18 01 03
03 - Bóng đèn huỳnh quang 16 01 06
04 - Dầu nhớt thải 17 02 04
05 - Keo thải 08 03 01
06 - Pin, ắc quy chì thải 19 06 01
07 - Hộp mực in 08 02 04
08 - Rác y tế thải 13 01 01</t>
  </si>
  <si>
    <t>07/08/2025</t>
  </si>
  <si>
    <t>TĐS 299, TBĐS 16, Khu phố Tân Bình, Phường Tân Hiệp, TP HCM</t>
  </si>
  <si>
    <t>1 - Bóng đèn huỳnh quang thải 16 01 06(rắn)
2 - Giẻ lau, bao tay dính dầu nhớt thải, dính sơn thải 18 02 01(rắn)
3 - Keo thải 08 03 01(lỏng)
4 - Bao bì cứng thải bằng kim loại, bao gồm cả bình chứa áp suất rỗng hoàn toàn 18 01 02 (rắn)
5 - Bao bì mềm dính thành phần nguy hại 18 01 01 (rắn)
6 - Cặn sơn thải 08 01 01(rắn)</t>
  </si>
  <si>
    <t>20/08/2027</t>
  </si>
  <si>
    <t>4 Ngưng HĐ 07/08/2025</t>
  </si>
  <si>
    <t>5 Ngưng HĐ 07/08/2025</t>
  </si>
  <si>
    <t>CÔNG TY TNHH VTSOLPAC</t>
  </si>
  <si>
    <t>Số 25, Đường số 31, khu công nghiệp Việt Nam – Singapore II-A, Phường Vĩnh Tân, thành phố Tân Uyên, tỉnh Bình Dương</t>
  </si>
  <si>
    <t>1- Bao bì mềm, giẻ lau dinhgs TPNH 18 02 01 (Rắn)
2- Bao bì cứng thải bằng kim loại dính các TPNH không có khả năng tái chế (vỏ thùng sơn, keo,...) 18 01 02Rắn
3- Dẩu động cơ, hợp số và bôi trơn thải 17 02 04 (lỏng)
4- Bóng đèn huỳnh quang thải 16 01 06 (rắn)
5- Phoi từ quá tình gia công tạo hình thải 07 03 11 (rắn)
6- Keo thải 08 03 01 (rắn/lỏng)</t>
  </si>
  <si>
    <t>1 lần/3 tháng 3,6,9,12</t>
  </si>
  <si>
    <t>08/08/2025</t>
  </si>
  <si>
    <t>15/04/2027</t>
  </si>
  <si>
    <t>Nylon, dây đai, mút xốp, giấy vụn, gỗ vụn, nhựa thải, pallet gỗ</t>
  </si>
  <si>
    <t>1 - Thùng đựng mực in dung môi sau sử dụng 18 01 01( Rắn )
2 - Giẻ lau có dính thành phần nguy hại 18 02 01( Rắn )
3 - Bóng đèn thủy ngân thải 16 01 06( Rắn )
4 - Bùn mực thải 08 02 02(bùn)
5 - Xăng dầu thải 17 06 02(lỏng)
6 - Bao bì mền thải 18 01 01 ( Rắn )
7 - Hộp mực in thải 08 02 04 ( Rắn )
8 - Pin, ắc quy chì thải 19 06 01( Rắn )
9 - Bùn từ hệ thống xử lý nước thải 12 06 05(bùn)
10 - Dung môi thải 17 08 03(lỏng)</t>
  </si>
  <si>
    <t>14/08/2025</t>
  </si>
  <si>
    <t>20/09/2027</t>
  </si>
  <si>
    <t>CÔNG TY TNHH GIẤY TRUNG NAM VIỆT NAM</t>
  </si>
  <si>
    <t>1 - Cặn sơn, sơn và vecni thải có dung môi hữu cơ hoặc các thành phần nguy hại 08 01 01
2 - Dung môi tẩy sơn hoặc vecni thải 08 01 05
3 - Hộp mực in thải có các tp nguy hại 08 02 04
4 - Chất kết dính và chất bịt kín thải có dung môi hữu cơ hoặc có các thành phần nguy hại 08 03 01
5 - Chất lấy nhiễm (bao gồm cả chất thải sắt nhọn) 13 01 01
6 - Bóng đèn huỳnh quang và các loại thủy tinh hoạt tính thải 16 01 06
7 - Dầu thủy lực tổng hơp thải 17 01 06
8 - Dầu động cơ, hộp số và bôi trơn tổng hợp thải 17 02 03
9 - Bao bì cứng thải bằng kim loại bao gồm cả bình chứa áp suất bảo đảm rỗng hoàn toàn 18 01 02
10 - Chất hấp thụ, vật liệu lọc (bao gồm cả vật liệu loc dầu chưa nêu tại các mã khác), giẻ lau, vải bảo vệ thải bị nhiễm các TPNH 18 02 01
11- Pin, ắc quy chì thải 19 06 01</t>
  </si>
  <si>
    <t>Số 8, Vsip II-A, Đường số 27, KCN Vsip II - A, Phường Vĩnh Tân, TP HCM</t>
  </si>
  <si>
    <t>1 - Dầu nhớt thải 17 02 04(lỏng)
2 - Giẻ lau, vải bảo vệ thải bị nhiễm các TPNH 18 02 01(rắn)
3 - Pin, ắc quy chì thải 19 06 01(rắn)
4 - Bóng đèn huỳnh quang và các loại thủy tinh hoạt tính thải (đèn ống và bóng đèn) 16 01 06(rắn)
5 - Hộp mực in thải có các TPNH 08 02 04(rắn)
6 - Bao bì cứng thải bằng kim loại (thùng đựng dầu nhớt thải) 18 01 02(rắn)
7 - Hóa chất và hỗn hơp hóa chất phòng thí nghiệm thải có các TPNH 19 05 02(rắn)
8 - Các loại chất hấp thụ đã qua sử dụng và bã lọc khác (cặn ethanol) 03 01 07(rắn)
9 - Bùn thải từ hệ thống xử lý nước thải 12 06 05(bùn)
10 - Bao bì cứng thải bằng nhựa (thùng đựng hóa chất thải) 18 01 03(rắn)
11 - Nước thải có chứa thành phần nguy hại 08 01 04 (lỏng)</t>
  </si>
  <si>
    <t>TĐS 1010, TBĐS 29, đường Khánh Bình 30, Phường Tân Hiệp, TP HCM</t>
  </si>
  <si>
    <t>1- Cặn sơn, sơn, vecni thải có dung môi hữu cơ hoặc các thành phần nguy hại khác 08 01 01 (rắn/lỏng)
2-Bùn thải lẫn sơn hoặc vecni có dung môi hữu cơ hoặc các thành phần nguy hại khác 08 01 02 (bùn)
3- Hộp mực in thải có chứa các TPNH 08 02 04 (rắn)
4- Chất kết dính và chất bịt kín thải có dung môi hữu cơ hoặc các thành phần nguy hại khác 08 03 01 (rắn)
5- Bóng đèn huỳnh quang và các  loại thủy tinh hoạt tính  thải 16 01 06 (rắn)
6- Các loại dầu động cơ, hộp số và bôi trơn thải khác 17 02 04 (lỏng)
7-Các loại dung môi và hỗn hợp dung môi thải khác 17 08 03 (lỏng)
8- Bao bì mền thỉa 18 01 01 (rắn)
9- Bao bì cứng bằng kim loại kể cả bình chứa áp suất đảm bảo rỗng hoàn toàn (thùng phuy sắt 25L) 18 01 02 (rắn)
10- Bao bì cứng thải bằng nhựa 18 01 03 (rắn)
11- Chất hấp thụ, vật liệu lọc (bao gồm cả vật liệu lọc dầu chưa nêu tại các mã khác), giẻ lau, vải bảo vệ thải bị nhiễm các thành phần nguy hại 18 02 01 (rắn)
12 - Pin, ắc quy chì thải 19 06 01 (rắn)
13 - Các loại chất thải khác có các TPNH hữu cơ 19 12 02 (rắn)
14- Sợi thủy tinh dính TPNH 18 02 01 (Rắn)
15- Nhựa, nhựa thải có hoặc bị nhiễm các TPNH 18 01 03 (Rắn)</t>
  </si>
  <si>
    <t>31/08/2026</t>
  </si>
  <si>
    <t>Ngưng HĐ 15/08/2025</t>
  </si>
  <si>
    <t>Công ty TNHH Sản xuất Thương Mại Bao Bì Giấy Nam Long
74,000,217.T</t>
  </si>
  <si>
    <t>Số 11/1, Đường Võ Thị Sáu, Tổ 1, Khu phố Khánh Long, Phường Tân Khánh, TP HCM</t>
  </si>
  <si>
    <t>1 - Vụn sắt 07 03 08
2 - Chất hấp thụ, vật liệu lọc, giẻ lau, bao tay, vải bảo vệ thải bị nhiễm TPNH 18 02 01
3 - Vật liệu mài dạng thải có TPNH 07 03 10</t>
  </si>
  <si>
    <t>4 Ngưng HĐ 18/08/2025</t>
  </si>
  <si>
    <t>5 Ngưng HĐ 18/08/2025</t>
  </si>
  <si>
    <t>4 Ngưng HĐ 26/08/2025</t>
  </si>
  <si>
    <t>27/08/2025</t>
  </si>
  <si>
    <t>CÔNG TY TNHH ACCREDO ASIA</t>
  </si>
  <si>
    <t>Ngưng 11/09/2025 - 20/10/2025</t>
  </si>
  <si>
    <t>7 Ngưng HĐ 04/09/2025</t>
  </si>
  <si>
    <t>7 Ngưng HĐ 05/09/2025</t>
  </si>
  <si>
    <t>CÔNG TY CỔ PHẦN KHOÁNG SẢN VÀ XÂY DỰNG BÌNH DƯƠNG</t>
  </si>
  <si>
    <t>Địa điểm 1: tại Nhà máy xử lý nước thải KCN Đất Cuốc khu A ( Địa chỉ: Xã Bắc Tân Uyên, TP HCM, Việt Nam).
Địa điểm 2: tại Nhà máy xử lý nước thải KCN Đất Cuốc khu B ( Địa chỉ: Xã Bắc Tân Uyên, TP HCM, Việt Nam).</t>
  </si>
  <si>
    <t>Công Ty TNHH Phát Triển 
Công Nghiệp KSB</t>
  </si>
  <si>
    <t>Địa điểm 1: tại Nhà máy xử lý nước thải KCN Đất Cuốc khu A ( Địa chỉ: Xã Đất Cuốc, huyện Bắc Tân Uyên, tỉnh Bình Dương, Việt Nam).
Địa điểm 2: tại Nhà máy xử lý nước thải KCN Đất Cuốc khu B ( Địa chỉ: Xã Đất Cuốc, huyện Bắc Tân Uyên, tỉnh Bình Dương, Việt Nam).</t>
  </si>
  <si>
    <t>12/09/2025</t>
  </si>
  <si>
    <t>1 - Nylon, dây đai, mút xốp, giấy vụn, nhựa thải không tái chế được không dính TPNH
2 - Gỗ vụn, gỗ tấm lớn
3 - Dầu mỡ thải từ nhà ăn
4 - Bụi nhựa</t>
  </si>
  <si>
    <t>CÔNG TY TNHH MỘT THÀNH VIÊN XỬ LÝ NƯỚC THẢI VÀ THOÁT NƯỚC BIWASE</t>
  </si>
  <si>
    <r>
      <t xml:space="preserve">Nhà máy xử lý nước thải Tân Uyên
</t>
    </r>
    <r>
      <rPr>
        <b/>
        <sz val="14"/>
        <rFont val="Times New Roman"/>
        <family val="1"/>
      </rPr>
      <t>Thửa đất số 1512, tờ bản đồ số 9, đường Thái Hòa 80, tổ 70, KP An Thành. Phường Thái Hòa, TP Tân Uyên, BD</t>
    </r>
  </si>
  <si>
    <t>15/09/2025</t>
  </si>
  <si>
    <t>31/12/2028</t>
  </si>
  <si>
    <t>CÔNG TY TNHH TÚI ĐỈNH PHONG VIỆT NAM</t>
  </si>
  <si>
    <t>TĐS 671, TBĐS 38, Đường Khánh Bình 05, Khu phố Khánh Vân, Phường Tân Hiệp, TP HCM</t>
  </si>
  <si>
    <t>Số 9, đường số 14, khu công nghiệp Việt Nam – Singapore II-A, phường Vĩnh Tân, thành phố Tân Uyên, tỉnh Bình Dương, Việt Nam.</t>
  </si>
  <si>
    <t>số 12B Vsip 2A, Đường số 23, KCN VN Singapore II-A, Phường Vĩnh Tân, TP HCM</t>
  </si>
  <si>
    <t>1 - Cặn sơn, sơn và véc ni thải có dung môi hữu cơ hoăc các tp nguy hại khác 08 01 01(rán/lỏng)
2 - Than hoạt tính đã qua sử dụng từ quá tình xử lý khí thải 12 01 04(rắn)
3 - Hộp mực in thải có các tp nguy hại 08 02 04
4 -Bùn thải có các thành phần nguy hại từ quá trình xử lý nước thải công nghiệp khác 12 06 05 (rắn)
5 -Bóng đèn huỳnh quang và các loại thủy tinh hoạt tính thải 16 01 06(rắn)
6 - Dầu động cơ, hộp số và bôi trơn tổng hợp thải 17 02 03(lỏng)
7 - Các loại dầu truyền nhiệt và các điện thải khác 17 03 05(Rắn)
8 - Các loại sáp và mỡ thải 17 07 04(lỏng)
9 - Các lọai dung môi và hỗn hợp dung môi thải khác 17 08 03(lỏng)
10 - Bao bì mền thải 18 01 01(rắn)
11 - Bao bì cứng thải bằng nhựa 18 01 03(rắn)
12 - Chất hấp thụ, vật liệu lọc (bao gồm cả vật liệu lọc dầu chưa nêu tại các mã khác ), giẻ lau, vải bảo vệ thải bị nhiễm các thành phần nguy hại  18 02 01(rắn)
13 - Pin, ắc quy chì thải 19 06 01(rắn)
14 - Nước thải từ hệ thống buồng sơn 08 01 04(lỏng)
15 - Bao bì cứng thải bằng kim loại (Thùng phuy sắt 200l) 18 01 02 (Ghi rõ số cái)
16 - Chất thải có chứa các tác nhân lây nhiễm 13 01 01(răn)</t>
  </si>
  <si>
    <t xml:space="preserve">2 lần/1tháng
</t>
  </si>
  <si>
    <t>18/09/2025</t>
  </si>
  <si>
    <t>20/12/2027</t>
  </si>
  <si>
    <t>1 - Pin, ắc quy chì thải 19 06 01
2 - Hộp mực in thải có chứa các TPNH 08 02 04
3 - Bóng đèn huỳnh quang và các loại thủy tinh hoạt tính thải 16 01 06
4 - Chất hấp thụ, vật liệu lọc (bao gồm cả vật liệu lọc dầu chưa nêu tại các mã khác), giẻ lau, vải bảo vệ thải bị nhiễm các TPNH 18 02 01
5 - Các loại dầu động cơ, hộp số và bôi trơn thải khác 17 02 04
6 - Bao bì cứng thải bằng kim loại bao gồm cả bình chứa áp suất bảo đảm rỗng hoàn toàn 18 01 02
7 - Các thiết bị, bộ phận, linh kiện điện tử thải 19 02 06
8 - Bùn từ HTXL nước thải 12 06 05
9 - Chất thải y tế: bông, băng, gòn,... 13 01 01</t>
  </si>
  <si>
    <t>1 lần/3 tháng 2,5,8,11</t>
  </si>
  <si>
    <t>4 Ngưng HĐ 21/09/2025</t>
  </si>
  <si>
    <t>CÔNG TY TNHH TECHBOND MFG (VIỆT NAM)</t>
  </si>
  <si>
    <t>Số 18, Đường số 23 KCN Vsip II-A, Phường Vĩnh Tân, TP HCM</t>
  </si>
  <si>
    <t>Carton, nilon, dây đai, mút xốp, giấy vụn, gỗ vụn, nhựa thải</t>
  </si>
  <si>
    <t>4 Ngưng HĐ 22/09/2025</t>
  </si>
  <si>
    <t>7 Ngưng HĐ 22/09/2025</t>
  </si>
  <si>
    <t>5 Ngưng HĐ 22/09/2025</t>
  </si>
  <si>
    <t>1 - Bùn thải có các thành phần nguy hại từ quá trình XLNT 12 06 05( rắn )
2 - Chất phụ gia thải có thành phần nguy hại 03 02 09( rắn/lỏng )
3 - Hộp mực in văn phòng 08 02 04( rắn )
4 - Bóng đèn huỳnh quang 16 01 06( rắn )
5 - Dầu thủy lực thải 17 01 06 ( Lỏng)
6 - Dầu nhớt thải 17 02 04( Lỏng)
7 - Bao bì mền dính thành phần nguy hại 18 01 01( rắn )
8 - Thùng kim loại dính thành phần nguy hại 18 01 02( rắn )
9 - Thùng nhựa dính thành phần nguy hại 18 01 02( rắn )
10 - Giẻ lau dính keo, dính thành phần nguy hại 18 02 01( rắn )
11 - Pin, ắc quy chì thải 19 06 01 ( rắn )</t>
  </si>
  <si>
    <t>29/09/2025</t>
  </si>
  <si>
    <t>Thửa 726, tờ bản đồ 28, Kp Tân Bình, P tân Hiệp, TP HCM</t>
  </si>
  <si>
    <t>Chất thải công nghiệp không dính nguy hại: carton, nylon, dây đai, mút xốp, gỗ vụn, nhựa thải</t>
  </si>
  <si>
    <t>CÔNG TY TNHH JIA ZHUN</t>
  </si>
  <si>
    <t>Số 304 Đường Vĩnh Tân 34, Khu phố 2, Phường Vĩnh Tân, TP HCM</t>
  </si>
  <si>
    <t>1 - Bóng đèn huỳnh quang thải 16 01 06
2 - Giẻ lau, bao tay dính TPNH 18 02 01
3 - Keo thải 08 03 01
4 - Bao bì cứng thải bằng kim loại dính TPNH 18 01 02
5 - Bao bì cứng thải bằng nhựa dính TPNH 18 01 03
6 - Bao bì mềm dính TPNH 18 01 01
7 - Cặn sơn thải 08 01 01
8-  Pin, ắc quy chì thải 19 06 01</t>
  </si>
  <si>
    <t>27/09/2025</t>
  </si>
  <si>
    <t>Lô 2F5, 2F6, Đường CN3, CN6, CN8, KCN Tân Bình, Phường Vĩnh Tân, TP HCM</t>
  </si>
  <si>
    <t>1- Mực in thải có các thải thành phần nguy hại 08 02 01(rắn/lỏng)
2 - Bùn mực thải có các thành phần nguy hại 08 02 02(bùn)
3 - Hộp mực in thải có các TPNH 08 02 04(rắn)
4 -Chất kết dính và chất bịt kín thải có dung môi hữu cơ hoặc các TPNH khác 08 03 01 (rắn/lỏng)
5 - Bóng đèn huỳnh quang và các loại thủy tinh hoạt tính 16 01 06(rắn)
6 - Các loại dầu động cơ, hộp số và bôi trơn thải khác  17 02 04(lỏng)
7 - Bao bì mền thải 18 01 01(rắn)
8 - Bao bì cứng thải bằng kim loại bao gồm cả bình chứa áp suất rỗng hoàn toàn 18 01 03 (rắn)
9 - Bao bì cứng thải bằng nhựa 18 01 03 (rắn)
10 - Chất hấp thụ, vật liệu lọc (bao gồm cả vật liệu lọc dầu chưa nêu tại các mã khác) , giẻ lau , vải bảo vệ thải bị nhiễm các thành phần nguy hại 18 02 01 (rắn)
11 - Pin, ắc quy chì thải 19 06 01(rắn)</t>
  </si>
  <si>
    <t>CÔNG TY TNHH SẢN XUẤT VÀ THƯƠNG MẠI NỘI THẤT COSY</t>
  </si>
  <si>
    <t>TĐS 330, TBĐS 5, Đường Tân Phước Khánh 56, Phường Tân Khánh, TP HCM</t>
  </si>
  <si>
    <t>01/10/2025</t>
  </si>
  <si>
    <t>xe bồn 2000k</t>
  </si>
  <si>
    <t>Công ty Cổ phần Thương Mại  - Chế biến Gỗ Xuất Nhập Khẩu Ngọc Nga
74.003.706.T</t>
  </si>
  <si>
    <t>Địa chỉ 1: Chi nhánh Công ty Cổ phần Thương Mại  - Chế biến Gỗ Xuất Nhật Ngọc Nga ( địa chỉ: TĐS 459, TBĐ 49, Ấp 1,  xã Thường Tân, TP HCM, Việt Nam)
Địa chỉ 2: Công ty Cổ phần Thương Mại  - Chế biến Gỗ Xuất Nhật Ngọc Nga (Địa chỉ: TĐS 436-457, TBĐ 8, tổ 2, Kp Phước Hải, phường Tân Khánh, TP HCM, Việt Nam)</t>
  </si>
  <si>
    <t>1-Cặn sơn, sơn, vecni thải có các thành phần dung môi hữu cơ hoặc các thành phần nguy hại khác 08 01 01 (rắn/lỏng)
2- Hộp mực in thải có các TPNH 08 02 04 (rắn)
3- Mùn cưa, phoi bào, đầu mẫu, gỗ thừa, ván và gỗ dán vụn thải có các TPNH 09 01 01
4- Bùn thải có các TPNH từ các quá tình XLNT công nghiệp khác 12 06 05 (bùn)
5- Bóng đèn huỳnh quang và các loại thủy tinh hoạt tính thải 16 01 06 (rắn)
6 - Dầu động cơ, hộp số và bôi trơn thải 17 02 04
7 - Các loại dung môi và hỗn hợp dung môi thải 17 08 03 (lỏng)
8 - Bao bì mềm thải  18 01 01 (rắn)
9 - Bao bì cứng thải bằng kim loại bao gồm cả bình chứa áp suất rỗng hoàn toàn 18 01 02 (rắn)
10 - Bao bì cứng thải bằng nhựa 18 01 03 (rắn)
11 - Chất hấp thụ, vật liệu lọc (bao gồm cả vật liệu lọc dầu chưa nêu tại các mã khác) , giẻ lau , vải bảo vệ thải bị nhiễm các thành phần nguy hại 18 02 01 (rắn)
12 - Pin, ắc quy chì thải 19 06 01 (rắn)
13 - Than hoạt tính thải 19 12 03 (rắn)</t>
  </si>
  <si>
    <t>Cẩu lớn</t>
  </si>
  <si>
    <r>
      <t xml:space="preserve">số 35, đường dân chủ, KCN Vsip 2, Bến cát, BD
</t>
    </r>
    <r>
      <rPr>
        <b/>
        <sz val="14"/>
        <rFont val="Times New Roman"/>
        <family val="1"/>
      </rPr>
      <t>Địa chỉ thu gom mới: số 25B, đường số 31, KCN Vsip II-A, P Vĩnh Tân, TP HCM</t>
    </r>
  </si>
  <si>
    <t>1 - Dầu gốc khoáng không có hợp chất chứa halogen hữu cơ thải từ quá trình gia công tạo hình 07 03 02(lỏng)
2 - Nhũ tương và dung dịch thải không có hợp chất halogen từ quá trình gia công tạo hình 07 03 04(lỏng
3 - Dầu tổng hợp thải từ quá trình gia công tạo hình 07 03 05(lỏng
4 - Bùn thải có các thành phần nguy hại từ quá tình gia công tạo hình 07 03 07(bùn)
5 - Các vật liệu mài dạng hạt có các thành phần nguy hại (cát, bột mài,...) 07 03 08(rắn)
6 - Bùn thải nghiền, mài có dầu 07 03 09(bùn)
7 - Vật thể dùng để mài đã qua sử dụng có các TPNH (đá mài, giấy rap,...) 07 03 10(rắn)
8 - Phoi từ quá trình gia công tạo hình hoặc vật liệu bị mài ra lẫn dầu, nhũ tương hay dung dịch thải có dầu hoặc các thành phần nguy hại 07 03 11(rắn)
9 - Que hàn có các kim loại nặng hoặc các TPNH 07 04 01(rắn)
10 - Xỉ hàn có các kim loại nặng hoặc các TPNh 07 04 02(rắn)
11 - Cặn sơn, sơn và vecni thải có dung môi hữu cơ hoặc các TPNH khác 08 01 01(rắn)
12 - Hộp mực in thải có TPNH 08 02 04(rắn)
13 - Bóng đèn huỳnh quang và các loại thủy tinh hoạt tính thải 16 01 06(rắn)
14 - Dầu thủy lực tổng hợp thải 17 01 06(longr)
15 - Các loại dầu động cơ, hộp số và bôi trơn thải 17 02 04(longr
16 - Bao bì cứng thải bằng kim loại bao gồm cả bình chứa áp suất bảo đảm rỗng hoàn toàn 18 01 02(rắn)
17 - Bao bì cứng thải bằng nhựa 18 01 03(rắn)
18 - Chất hấp phụ , vật liệu lọc (bao gồm cả vật liệu dầu chưa nêu tại mã khác), giẻ lau, vải bảo vệ thải bị nhiễm các thành phần nguy hại 18 02 01(rắn)
19 - Pin, ắc quy chì thải 19 06 01(rắn)</t>
  </si>
  <si>
    <t>Lô A25, A26, A27, đường số 9, Cụm công nghiệp phường Uyên Hưng, Tân Uyên, BD</t>
  </si>
  <si>
    <t>12 lần/ tháng</t>
  </si>
  <si>
    <t>8h Mang 6 bồn cắt</t>
  </si>
  <si>
    <t>Nhà xường T16, Số 5B, Đường 27, KCN Vsip II-A, Phường Vĩnh Tân, TP HCM</t>
  </si>
  <si>
    <t>Công ty TNHH Hock Hin (VN) Foodstuffs Manuafacturing</t>
  </si>
  <si>
    <t>Số 2, Đường Số 12, KCN Singapor II-A, Phường Vĩnh Tân, TP HCM</t>
  </si>
  <si>
    <t>1 - Hộp mực in thải có các TPNH 08 02 04
2 - Bóng đèn huỳnh quang và các loại thủy tinh hoạt tính thải 16 01 06
3 - Các loại dầu động cơ, hộp số và bôi trơn thải khác 17 02 04
4 - Bao bì cứng thải bằng kim loại bao gồm cả bình chứa áp suất đảm bảo rỗng hoàn toàn 18 01 02
5 - Chất hấp thụ, vật liệu lọc (bao gồm cả vật liệu lọc dầu chưa nêu tại các mã khác), giẻ lau, vải bảo vệ thải bị nhiễm các TPNH 18 02 01
6 - Pin, ắc quy chì thải 19 01 12</t>
  </si>
  <si>
    <t>Chi Nhánh Công ty Cổ Phần Miền Đông</t>
  </si>
  <si>
    <t>Mỏ đá Thường Tân 6: Xã Thường Tân, TP HCM</t>
  </si>
  <si>
    <t>1 - Bao bì mền thải 18 01 01
2 - Chất hấp thụ, vật liệu lọc (bao gồm cả vật liệu lọc dầu chưa nêu tại các mã khác) , giẻ lau , vải bảo vệ thải bị nhiễm các thành phần nguy hại 18 02 01 (rắn)
3 - Các loại dầu động cơ, hộp số và bôi trơn thải khác 17 02 04
4 - Bóng đèn huỳnh quang và các loại thủy tinh hoạt tính thải 16 01 06 (rắn)
5 - Pin, ắc quy chì thải 19 06 01
6 - Bao bì cứng thải bằng kim loại bao gồm cả bình chứa áp suất rỗng hoàn toàn 18 01 02 (rắn)
7 - Hộp mực in thải có các TPNH 08 02 04</t>
  </si>
  <si>
    <t>Công ty TNHH Sản xuất Thương mại Dihafo</t>
  </si>
  <si>
    <t>TĐS 862, tờ bản đồ số 6, Tổ 1, Khu phố Bà Tri, Phường Tân Hiệp, TP HCM</t>
  </si>
  <si>
    <t>1- Vật thể mài 07 03 10 (Rắn)
2- Cặn sơn, sơn và vecni thải có các TPNH 08 01 01 (rắn/lỏng) 
3- Bao bì mềm thải 18 01 01 (Rắn)
4- Chất hấp thụ, vật liệu lọc (bao gồm cả vật liệu lọc dầu chưa nêu tại các mã khác), giẻ lau, vải bảo vệ thải bị nhiễm các thành phần nguy hại 18 02 01 (rắn)
5- Bao bì cứng thải bằng nhựa 18 01 03 (rắn)
6- Hóa chất vô cơ và hữu cơ thải 19 05 02 (rắn/lỏng)
7- Axit thải 02 01 05 (lỏng)
8- Bùn thải có chứa các thành phần nguy hại từ các quá trình xử lý nước thải 12 06 05 (bùn)
9- Dầy nhớt thải 17 02 04 (lỏng)</t>
  </si>
  <si>
    <t>TĐS 367, TBĐS 33, Ấp 1, Xã thường Tân, TP HCM</t>
  </si>
  <si>
    <t>1 - Bao bì cứng bằng nhựa đựng dầu nhớt 18 01 03
2 - Bao bì cứng bằng kim loại đựng dầu nhớt, mỡ 18 01 02
3 - Dầu nhớt thải 17 02 04
4 - Giẻ lau dính dầu nhớt thải 18 02 01
5 - Bóng đèn huỳnh quang thải 16 01 06
6 - Pin, ắc quy chì thải 19 06 01
7 - Hộp mực in thải 08 02 04
8- Nước thải từ quá trình xử lý khí thải 12 01 02</t>
  </si>
  <si>
    <t>Lô B6, ô 10, Đường D3, KCN Đất Cuốc, Xã Bắc Tân Uyên, TP HCM</t>
  </si>
  <si>
    <t>1 - Bóng đèn huỳnh quang thải 16 01 06(rắn)
2 - Dầu nhớt thải 17 02 04(lỏng)
3 - Hộp mức in thải 08 02 04(rắn)
4 - Giẻ lau dính dầu nhớt thải 18 02 01(rắn)
5 - Thùng chứa dầu nhớt, hóa chất thải 18 01 01(rắn)
6 - Pin, ắc quy chì thải 19 06 01(rắn)</t>
  </si>
  <si>
    <t>01 lần/6 tháng 6,12</t>
  </si>
  <si>
    <t>1 - Nguyên phụ liệu đầu vào cần tiêu hủy
2 - Bán thành phẩm không đạt chất lượng
3 - Thành phẩm không đạt chất lượng</t>
  </si>
  <si>
    <t>Tổng Công ty Thương mại  Xuất nhập khẩu Thanh Lễ - CTCP</t>
  </si>
  <si>
    <t>01 - Dầu nhiên liệu và dầu diesel thải 17 06 01
02 - Pin, ắc quy chì thải 19 06 01
03 - Bóng đèn và các loại thủy tinh hoạt tính thải 16 01 06
04 - Giẻ lau dính dầu nhớt thải 18 02 01
5 - Thiết bị có bộ phận linh kiện điện tử thải 19 02 05</t>
  </si>
  <si>
    <t>Cửa Hàng Bán lẻ Xăng Dầu số 26 (Địa chỉ: ĐT 746, Xã Thường Tân, TP HCM)</t>
  </si>
  <si>
    <t>08/10/2025</t>
  </si>
  <si>
    <t>30/09/2027</t>
  </si>
  <si>
    <t>01 - Dầu nhiên liệu và dầu diesel thải 17 06 01
02 - Pin, ắc quy chì thải 19 06 01
03 - Bóng đèn và các loại thủy tinh hoạt tính thải 16 01 06
04 - Giẻ lau dính dầu nhớt thải 18 02 01
5 - Xăng dầu thải 17 06 02
6 - Dầu nhớt thải, cặn dầu nhớt thải 17 02 04</t>
  </si>
  <si>
    <t>Cửa Hàng Bán lẻ Xăng Dầu số 10 (Địa chỉ: Phường Bình Cơ, TP HCM)</t>
  </si>
  <si>
    <t>Công ty TNHH Giai Mỹ Việt Nam
74.001.084.T</t>
  </si>
  <si>
    <t>Số 18B, Vsip II-A, Đường số 24, KCN VN - Singapore II-A, Phường Vĩnh Tân, TP HCM</t>
  </si>
  <si>
    <t>1 - Bóng đèn huỳnh quang và các loại thủy tinh hoạt tính thải 16 01 06 (rắn)
2 - Bao bì cứng thải bằng kim loại bao gồm cả bình chứa áp suất rỗng hoàn toàn 18 01 02 (rắn)
3 - Bao bì cứng thải bằng nhựa 18 01 03 (rắn)
4 - Chất hấp thụ, vật liệu lọc (bao gồm cả vật liệu lọc dầu chưa nêu tại các mã khác) , giẻ lau , vải bảo vệ thải bị nhiễm các thành phần nguy hại 18 02 01 (rắn)
5 - Pin, ắc quy chì thải 19 06 01 (rắn)
6 - Các loại dầu động cơ, hộp số và bôi trơn thải khác 17 02 04 (lỏng)
7 - Chất kết dính và chất bịt kín thải có dung môi hữu cơ hoặc các TPNH khác 08 03 01 (rắn/lỏng)
8 - Bao bì mềm thải 18 01 01 (rắn)
9 - Mực in thải có các TPNH 08 02 01 (rắn/lỏng)
10 - Hộp mực in thải có các TPNH 08 02 04 (rắn)</t>
  </si>
  <si>
    <t>09/10/2025</t>
  </si>
  <si>
    <t>Lô M1-Module 5, Lô D, Đường N2, Khu Công Nghiệp Nam tân Uyên, Phường Tân Hiệp, TP HCM</t>
  </si>
  <si>
    <t>lô B5, đường D2-N5, KCN Nam tân Uyên, Phường Tân Hiệp, TP HCM</t>
  </si>
  <si>
    <t xml:space="preserve">Nilon, dây đai, mút xốp, gỗ vụn, giấy vụn </t>
  </si>
  <si>
    <t>1 - Dung dịch có chứa TPNH (dung dịch rửa bao bì dính mực in) 08 02 01
2 - Bùn thải mực in có TPNH 08 02 02 (BS)</t>
  </si>
  <si>
    <t>Ngưng HĐ 09/10/2025</t>
  </si>
  <si>
    <t>01 lần/ 6 tháng
4,10</t>
  </si>
  <si>
    <t>Ép tuyến</t>
  </si>
  <si>
    <t>5 Ngưng HĐ</t>
  </si>
  <si>
    <t>Ngưng HĐ 10/10/2025</t>
  </si>
  <si>
    <t>Công ty TNHH MTV sản xuất Nhất Tín</t>
  </si>
  <si>
    <t>Lô1A2, 1A3, 1A4, đường CN15, KCN Tân Bình, Phường Chánh Phú Hòa, TP HCM</t>
  </si>
  <si>
    <t>03/09/2025</t>
  </si>
  <si>
    <t>Khu nhà ở Hội Nghĩa (Phường Bình Cơ, thành phố Hồ Chí Minh)</t>
  </si>
  <si>
    <t>1-Giẻ lau dính dầu nhớt 18 02 01
2- Dầu nhớt thải 17 02 04
3- Bóng đèn huỳnh quang thải 16 01 06
4- Pin, ắc quy chì thải 19 06 01
5- Thùng nhựa đựng dầu nhớt thải 18 01 03</t>
  </si>
  <si>
    <t>Khu nhà ở Tân Hiệp (Phường Tân Hiệp, thành phố Hồ Chí Minh)</t>
  </si>
  <si>
    <t>1-Giẻ lau dính dầu nhớt 18 02 01
2- Dầu nhớt thải 17 02 04
3- Bóng đèn huỳnh quang thải 16 01 06
4- Pin, ắc quy chì thải 19 06 01
5- Thùng  nhựa đựng dầu nhớt thải 18 01 03</t>
  </si>
  <si>
    <t>21/10/2025</t>
  </si>
  <si>
    <t>4 Ngưng HĐ 22/10/2025</t>
  </si>
  <si>
    <t>5 Ngưng HĐ 22/10/2025</t>
  </si>
  <si>
    <t>4 Ngưng HĐ 17/10/2025</t>
  </si>
  <si>
    <t>Ngưng HĐ 20/10/2025</t>
  </si>
  <si>
    <t>5 Ngưng HĐ 20/10/2025</t>
  </si>
  <si>
    <t>TĐS 140, TBĐ số 11, đường ĐH 423 Khu phố Bà tri, Phường Tân Hiệp, TP HCM</t>
  </si>
  <si>
    <t>Công ty TNHH Solid Wood Furniture Puregreen</t>
  </si>
  <si>
    <t>Thửa đất số 953, tờ bản đồ số 38, Khu phố Khánh Vân, Phường Tân Hiệp, TPHCM</t>
  </si>
  <si>
    <t>1- Cặn sơn thải 08 01 01
2- Bùn thải lẫn sơn có dung môi hữu cơ 08 01 02 
3- Hộp mực in thải có các TPNH 08 02 04
4- Bóng đèn huỳnh quang thải 16 01 06
5- Dầu nhớt thải 17 02 04
6- Keo thải 08 03 01
7- Bao bì cứng đựng sơn dung môi keo và dầu nhớt thải bằng nhựa 18 01 03
8- Giẻ lau, bao tay dính sơn, dầu nhớt, dung môi 18 02 01
9- Pin, ắc quy chì thải 19 06 01
10- Dung môi thải 17 08 03</t>
  </si>
  <si>
    <t>Nước thải công nghiệp từ bể sự cố nhà máy (BS)</t>
  </si>
  <si>
    <t>1 - Hộp mực in thải có các TPNH 08 02 04
2 - Bóng đèn huỳnh quang và các loại thủy tinh hoạt tính thải 16 01 06
3 - Bao bì mềm thải 18 01 01
4 - Bao bì cứng thải bằng kim loại 18 01 02
5 - Bao bì cứng thải bằng nhựa 18 01 03
6 - Chất hấp thụ, vật liệu lọc (bao gồm cả vật liệu lọc dầu chưa nêu tại các mã khác), giẻ lau, vải bảo vệ thải bị nhiễm các TPNH 18 02 01
7 - Pin, ắc quy chì thải 19 06 01</t>
  </si>
  <si>
    <t>Chi Nhánh Công Ty CP Miền Đông - Xí Nghiệp Sản Xuất Đá Miền Đông</t>
  </si>
  <si>
    <t>Xã Thường Tân, TPHCM</t>
  </si>
  <si>
    <t>Bùn cặn nạo vét từ các hồ lắng, mương thoát nước, các phụ tùng bằng nhựa hỏng, sắt phế liệu không dính thành phần nguy hại</t>
  </si>
  <si>
    <t>4 Ngưng HĐ 01/11/2025</t>
  </si>
  <si>
    <t>5 Ngưng HĐ 01/11/2025</t>
  </si>
  <si>
    <t>5 Ngưng HĐ 13/12/2025</t>
  </si>
  <si>
    <t>Ngưng HĐ 01/11/2025</t>
  </si>
  <si>
    <t>7 Ngưng HĐ 28/10/2025</t>
  </si>
  <si>
    <t>4 Ngưng HĐ 28/10/2025</t>
  </si>
  <si>
    <r>
      <rPr>
        <b/>
        <sz val="14"/>
        <rFont val="Times New Roman"/>
        <family val="1"/>
      </rPr>
      <t>.Địa điểm 1</t>
    </r>
    <r>
      <rPr>
        <sz val="14"/>
        <rFont val="Times New Roman"/>
        <family val="1"/>
      </rPr>
      <t xml:space="preserve">: tại Chi nhánh Công ty Cổ Phần Thương Mại – Chế Biến Gỗ Xuất Nhập Khẩu Ngọc Nga (Địa chỉ: Thửa đất số 459, Tờ bản đồ số 49, Ấp 1, xã Thường Tân, TPHCM, Việt Nam)
</t>
    </r>
    <r>
      <rPr>
        <b/>
        <sz val="14"/>
        <rFont val="Times New Roman"/>
        <family val="1"/>
      </rPr>
      <t>.Địa điểm 2</t>
    </r>
    <r>
      <rPr>
        <sz val="14"/>
        <rFont val="Times New Roman"/>
        <family val="1"/>
      </rPr>
      <t>: tại Công ty Cổ Phần Thương Mại – Chế Biến Gỗ Xuất Nhập Khẩu Ngọc Nga (Địa chỉ: Thửa đất số 436 – 457, Tờ bản đồ số 8, Tổ 2, Khu Phố Phước Hải, Phường Tân Khánh, TPHCM, Việt Nam)</t>
    </r>
  </si>
  <si>
    <t>Chi Nhanh Công ty Cổ Phần Đầu Tư Và Xây Dựng 3-2 - Xí Nghiệp Cống Bê Tông.
(Địa chỉ thu gom: 216B, Ấp số 6, đường đồi 16, KP Cây Chàm, Phường Thạnh Phước, TP Tân Uyên, Tỉnh Bình Dương)</t>
  </si>
  <si>
    <t xml:space="preserve">1 - Bao bì, carton, mút xốp 
2 - Bùn thải từ hệ thống xử lý nước thải </t>
  </si>
  <si>
    <t>số 12, vsip II-A, đường số 32, KCN Việt Nam- Singapore II-A, Phường Vĩnh Tân, TPHCM</t>
  </si>
  <si>
    <t>1 - Hộp mực in thải có chứa các thành phần nguy hại 08 02 04
2 - Bùn thải có các thành phần nguy hại từ quá trình xử lý nước thải công nghiệp khác 12 06 05
3 - Bóng đèn huỳnh quang  và các loại thuỷ tinh hoạt tính thải 16 01 06
4 - Dầu động cơ, hộp số và bôi trơn thải khác 17 02 04
5 - Bao bì cứng thải bằng kim loại bao gồm cả bình chứa áp suất rỗng hoàn toàn 18 01 02 (rắn)
6 - Bao bì cứng thải bằng nhựa 18 01 03
7 - Chất hấp thụ, vật liệu lọc (bao gồm cả vật liệu lọc dầu) , giẻ lau , vải bảo vệ thải bị nhiễm thành phần nguy hại 18 02 01 (rắn)
8 - Pin, ắc quy chì thải 19 06 01
9- Bao bì mềm thải 18 01 01
10- Hóa chất và hỗn hợp hóa chất phòng thí nghiệm thải có các thành phần nguy hại 19 05 02</t>
  </si>
  <si>
    <t xml:space="preserve">Công ty TNHH Sản xuất Olympic Pro Việt Nam </t>
  </si>
  <si>
    <t>Lô C5, Đường N4, Khu công nghiệp Nam Tân Uyên, Phường Tân Hiệp, TPHCM</t>
  </si>
  <si>
    <t>1- Dung dịch Bazo  thải 02 02 02
2- Bùn thải kim loại có chứa hóa chất 07 03 09
3- Hộp mực in thải có các TPNH 08 02 04
4- Bóng đèn huỳnh quang thải 16 01 06
5- Dầu nhớt thải 17 02 04
6- Axit thải 02 01 06
7- Bao bì thùng đựng dầu nhớt hóa chất 18 01 01
8- Giẻ lau, bao tay dính sơn, dầu nhớt, dung môi 18 02 01
9- Pin, ắc quy chì thải 19 06 01
10- Bùn từ hệ thống xử lý nước thải 12 06 05
11- Mạt nhôm có lẫn sắt 07 03 11</t>
  </si>
  <si>
    <t>Ngưng HĐ 06/11/2025</t>
  </si>
  <si>
    <t>Hàng tuần</t>
  </si>
  <si>
    <t>Hàng tháng</t>
  </si>
  <si>
    <t>Xi măng, cát, đất, đá</t>
  </si>
  <si>
    <t>CÔNG TY CỔ PHẦN ĐẦU TƯ XÂY DỰNG SỐ 1 MÊ KÔNG</t>
  </si>
  <si>
    <t>Nhà máy bê tông Mê Kông Bình Dương: TĐS 277, TBĐS 14, Khu phố Khánh Long, Phường Tân Khánh, TP HCM</t>
  </si>
  <si>
    <t>1 - Hộp mực in thải có các TPNH 08 02 04
2 - Bóng đèn huỳnh quang và các loại thủy tinh hoạt tính thải 16 01 06
3 - Bao bì mềm thải 18 01 01
4 - Bao bì cứng thải bằng nhựa 18 01 03
5 - Chất hấp thụ, vật liệu lọc (bao gồm cả vật liệu lọc dầu chưa nêu tại các mã khác), giẻ lau, vải bảo vệ thải bị nhiễm các TPNH 18 02 01
6 - Bộ lọc dầu đã qua sử dụng 15 02 02</t>
  </si>
  <si>
    <t>1 lần/2 tháng 1,3,5,7,9,11</t>
  </si>
  <si>
    <t>Lô J11, J12, đường N3, KCN Nam Tân Uyên mở rộng, phường Bình Cơ, TPHCM</t>
  </si>
  <si>
    <t>1. Cặn sơn, sơn và véc ni thải có dung môi hữu cơ hoặc các thành phần nguy hại khác		08 01 01
2. Hộp mực in thải có các thành phần nguy hại 08 02 04
3. Chất kết dính và chất bịt kín thải có dung môi hữu cơ hoặc các thành phần nguy hại khác	08 03 01
4. Bùn thải có các thành phần nguy hại từ quá trình xử lý nước thải công nghiệp khác	12 06 05
5. Bóng đèn huỳnh quang và các loại thủy tinh hoạt tính thải	16 01 06
6. Các loại dầu động cơ, hộp số và bôi trơn thải khác 17 02 04
7. Các loại dung môi và hỗn hợp dung môi thải khác 17 08 03
8. Bao bì mềm thải	18 01 01
9. Bao bì cứng thải bằng kim loại bao gồm cả bình chứa áp suất bảo đảm hoàn toàn rỗng	18 01 02
10. Bao bì cứng thải bằng nhựa	18 01 03
11. Chất hấp thụ, vật liệu lọc (bao gồm cả vật liệu lọc dầu chưa nêu tại các mã khác), giẻ lau, vải bảo vệ thải bị nhiễm các thành phần nguy hại	18 02 01
12. Pin, ắc quy chì thải	19 06 01
13. Các loại chất thải khác có các thành phần nguy hại hữu cơ	Kg	19 12 02
14. Cặn sơn, sơn và véc ni thải có dung môi hữu cơ hoặc các thành phần nguy hại khác	08 01 01
15. Hộp mực in thải có các thành phần nguy hại 08 02 04</t>
  </si>
  <si>
    <t>Công ty TNHH Vỹ Kiệt</t>
  </si>
  <si>
    <t>Thửa đất số 489, tờ bản đồ số 51, khu phố 8, phường Tân Uyên, TP. HCM</t>
  </si>
  <si>
    <t>Chất thải công nghiệp: Carton, nilon, dây đai mút xốp, giấy vụn, gõ vụn, nhựa thải</t>
  </si>
  <si>
    <t>10/11/2025</t>
  </si>
  <si>
    <t>Thửa đất số 773, tờ bản đồ số 52, đường ĐT 747, Khu phố 8, Phường Tân Uyên, TP.HCM</t>
  </si>
  <si>
    <t>1 - Cặn sơn, sơn và vecni thải có dung môi hữu cơ  hoặc các thành phần nguy hại khác 08 01 01
2 - Hộp mực in thải có chứa thành phần nguy hại 08 02 04
3 - Chất kết dính và chất bịt kín thải có dung môi hữu cơ hoặc các thành phần nguy hại khác 08 03 01
4 - Mùn cưa, phoi bào, dầu mẫu, gỗ thừa, ván và gỗ dán vụn thải có các thành phần nguy hại 09 01 01
5 - Bùn thải có các thành phần nguy hại từ các quá trình xử lý nước thải công nghiệp khác 12 06 05
6 - Bóng đèn huỳnh quang và các loại thủy tinh hoạt tính thải 16 01 06
7 - Dầu thủy lực tổng hộp thải 17 01 06
8 - Các loại dầu động cơ, hộp số và bôi trơn thải khác 17 02 04
9 - Các loại dung môi và hỗn hợp dung môi thải khác 17 08 03
10 - Bao bì mền thải 18 01 01
11 - Bao bì cứng thải bằng kim loại bao gồm cả bình chứa áp suất bảo đảm rỗng hoàn toàn 18 01 02
12 - Bao bì cứng thải bằng nhựa 18 01 03 
13 - Chất hấp thụ, vật liệu lọc (bao gồm cả vật liệu lọc dầu chưa nêu tại các mã khác), giẻ lau, vải bảo vệ thải bị nhiễm các thành phần nguy hại 18 02 01
14- Pin, ắc quy chì thải 19 06 01
15- Than hoạt tính 19 12 02</t>
  </si>
  <si>
    <t>Giấy vụn,  carton, gỗ vụn,  dây đai, Nylon, mút xốp,</t>
  </si>
  <si>
    <t>Chất thải công nghiệp: Bao bì giấy, nylon, dây đai, mút vụn</t>
  </si>
  <si>
    <t>TĐS 484, TBĐS 05, Khu phố Khánh Lộc, Phường Tân  Khánh, TP HCM</t>
  </si>
  <si>
    <t>4 Ngưng HĐ 20/10/2025</t>
  </si>
  <si>
    <t>4 Ngưng HĐ 11/11/2025</t>
  </si>
  <si>
    <t>Ngưng HĐ 11/11/2025</t>
  </si>
  <si>
    <t>10h30 Thứ 7, 1 lớn, 1 nhỏ</t>
  </si>
  <si>
    <t>Công ty TNHH Thương mại - Dịch vụ - In Thành Đạt</t>
  </si>
  <si>
    <t>Số 234E khu phố Phú Trung, phường Bình Dương, TPHCM</t>
  </si>
  <si>
    <t>1- Giẻ lau, bao tay vải, giấy dính các thành phần nguy hại 18 02 01
2- Dầu nhớt thải 17 02 04
3- Bao bì chứa hóa chất bằng nhựa thải 18 01 03
4- Hộp mực in thải 08 02 04
5- Bóng đèn huỳnh quang thải 16 01 06
6- Pin, ắc quy chì thải 19 06 01
7- Thùng chứa dầu nhớt, hóa chất, mực in bằng kim loại 18 01 02
8- Mực in hỏng thải bỏ 08 01 01 
9- Than hoạt tính thải bỏ 12 01 04
10- Các loại dầu thải từ quá trình rửa thiết bị khác 17 07 03</t>
  </si>
  <si>
    <t>20/11/2027</t>
  </si>
  <si>
    <t xml:space="preserve"> lô N5, Đường D4-N8, KCN Nam Tân Uyên, Khánh Bình, Tân Hiệp, TP HCM</t>
  </si>
  <si>
    <t>19/11/2025</t>
  </si>
  <si>
    <t>số 23A VSIP II-A đường số 29, khu công nghiệp Việt Nam - Singapore II-A, phường Vĩnh Tân, thành phố Hồ Chí Minh</t>
  </si>
  <si>
    <t>01 Than hoạt tính đã qua dử dụng từ quá trình xử lý khí thải 12 01 04
02 Bóng đèn huỳnh quang thải 16 01 06
03 Dầu động cơ, hộp số và bôi trơn tổng hợp thải 17 02 03
04 Nước thải lẫn dầu 17 02 04
05 Dung môi thải 17 08 03
06 Pin, ắc quy chì thải 19 06 01
07 Cát thạch anh thải bỏ 03 02 10
08 Mạt kim loại, vụn kim loại dính dầu 07 03 11
09 Bao bì cứng bằng nhựa thải 18 01 03
10 Chất hấp thụ, vật liệu lọc (bao gồm cả vật liệu lọc dầu chưa nêu tại các mã khác), giẻ lau, vải bảo vệ thải bị nhiễm các thành phần nguy hại 18 02 01</t>
  </si>
  <si>
    <t>TDSS 522, TBĐS 38, Kp Tân Hóa Khánh, P. Tân Hiệp, TPHCM</t>
  </si>
  <si>
    <t>CN : Giấy vụn, carton, gỗ vụn, dây đai, nilon, mút xốp</t>
  </si>
  <si>
    <t>Số 28 VSIP II-A, Đường số 32, KCN Việt Nam - Singapore II-A, Phường Vĩnh Tân, TP HCM</t>
  </si>
  <si>
    <t>Công ty TNHH MTV Sản xuất Bao Bì Giấy Bình Minh
74.002.559.T</t>
  </si>
  <si>
    <t>Ô A9.1, Lô A9, đường D2, Khu công nghiệp Đất Cuốc - Khu B, Xã Bắc Tân Uyên, TPHCM</t>
  </si>
  <si>
    <t xml:space="preserve">1 -Mực in thải có các thành phần nguy hại 08 02 01 
2 - Bùn mực thải có các thành phần nguy hại 08 02 02
3 - Hộp mực in thải có chứa các thành phần nguy hại 08 02 04
4 - Chất kết dính và chất bịt kín thải có dung môi hữu cơ hoặc các thành phần nguy hại 08 03 01
5 - Bùn thải có các thành phần nguy hại 12 06 05
6 - Chất thải lây nhiễm 13 01 01 
7 - Bóng đèn huỳnh quang và các loại thủy tinh hoạt tính thải	 	16 01 06
8 - Các loại dầu động cơ, hộp số và bôi trơn thải khác 17 02 04 (lỏng)
9 -  Bao bì mềm thải 18 01 01 
10 - Bao bì cứng thải bằng kim loại bao gồm cả bình chứa áp suất bảo đảm rỗng hoàn toàn 18 01 02
11- Bao bì cứng thải bằng nhựa  18 01 03
12- Chất hấp thụ, vật liệu lọc (bao gồm cả vật liệu lọc dầu chưa nêu tại các mã khác), giẻ lau, bao tay, vải bảo vệ thải bị nhiễm các thành phần nguy hại	 18 02 01
13- Pin, ắc quy chì thải 19 06 01
14- Các loại chất thải khác có các thành phần nguy hại vô cơ và hữu cơ 19 12 03
</t>
  </si>
  <si>
    <t>số 52 khu phố cổng xanh, Phường Vĩnh Tân, TPHCM</t>
  </si>
  <si>
    <t>1 - Hộp mực in thải có chứa các thành phần nguy hại 08 02 04 ( Rắn )
2 - Chất kết dính và chất bịt kín thải có dung môi hữu cơ hoặc các thành phần nguy hại khác 08 03 01 ( Rắn )
3 -Các loại dung môi và hỗn hợp dung môi thải khác 17 08 03(Lỏng)
4 - Bóng đèn huỳnh quang và các loại thủy rính hoạt tính thải 16 01 06 ( Rắn )
5 - Các loại dầu động cơ, hộp số và bôi trơn thải khác, dầu nhớt tổng hợp thải 17 02 04 (Lỏng)
6 - Bao bì cứng thải bằng kim loại bao gồm cả bình chứa áp suất bảo đảm rỗng hoàn toàn/thùng đựng dầu nhớt thải bằng kim loại 18 01 02 ( Rắn )
7 - Bào bì cứng thải bằng nhựa 08 01 03 ( Rắn )
8 - Chất hấp thụ vật liệu lọc, giẻ lau,  bao tay, vải bảo vệ bị nhiễm các thành phần nguy hại 18 02 01 ( Rắn )
9 - Pin, ắc quy chì thải 19 06 01 ( Rắn )</t>
  </si>
  <si>
    <t>Thửa đất số 37, tờ bản đồ số 27, KP Long Bình, Phường Tân Hiệp, TP HCM</t>
  </si>
  <si>
    <t>Giấy vụn, carton, gỗ vụn, dây đai, nilon, mút xốp</t>
  </si>
  <si>
    <t>7</t>
  </si>
  <si>
    <t>Thửa đất số 19, tờ bản đồ số 38, khu phố 8, Phường Tân Uyên, TPHCM</t>
  </si>
  <si>
    <t>Công ty TNHH Viễn Lâm</t>
  </si>
  <si>
    <t>KP. Khánh Lộc, Phường Tân Hiệp, TPHCM</t>
  </si>
  <si>
    <t>KP. Mỹ Hiệp, Phường Tân Đông Hiệp, TPHCM</t>
  </si>
  <si>
    <t xml:space="preserve">1/ Cặn sơn, sơn và véc ni thải có dung môi hữu cơ hoặc các thành phần nguy hại khác 08 0101
2/ Hộp mực in thải 08 02 04
3/ Chất kết dính và chất bịt kín thải có dung môi hữu cơ hoặc các thành phần nguy hại: 08 03 01
4/ Mùn cưa, phoi bào,đầu mẫu, gỗ thừa, ván và gỗ dán vụn thải có các thành phần nguy hại: 09 01 01
5/ Bùn thải có các thành phần nguy hại từ các quá trình xử lý nước thải công nghiệp khác: 12 06 05
6/ Chất thải lây nhiễm (bao gồm cả các chất thải sắc nhọn): 13 01 01
7/ Bóng đèn huỳnh quang và các loại thủy tinh hoạt tính thải: 16 01 06
8/ Các loại dầu động cơ, hộp số và bôi trơn thải khác: 17 02 04
9/ Các loại dung môi và hỗn hợp dung môi thải khác: 17 08 03
10/ Bao bì cứng thải bằng kim loại bao gồm cả bình chứa áp suất bảo đảm rỗng hoàn toàn: 18 01 02
11/ Bao bì cứng thải bằng nhựa: 18 01 03
12/ Chất hấp thụ, vật liệu lọc (bao gồm cả vật liệu lọc dầu chưa nêu tại các mã khác), giẻ lau, vải bảo vệ thải bị nhiễm các thành phần nguy hại: 18 02 01
13/ Pin, ắc quy chì thải: 19 06 01
14/ Các loại hóa chất thải khác có các thành phần nguy hại hữu cơ: 19 12 02
</t>
  </si>
  <si>
    <t>TĐS 522, TBĐ số 38, Kp. Tân Hóa Khánh, Phường Tân Hiệp, TPHCM</t>
  </si>
  <si>
    <t>1 - Bao bì mềm dính thành phần nguy hại ;  18 01 01 ( Rắn )
2 - Dầu nhớt bôi trơn tổng hợp thải; 17 02 03( Lỏng)
3 - Giẻ lau dính dầu nhớt; 18 02 01 ( Rắn )
4 - Pin ắc quy chì thải; 19 06 01 ( Rắn )
5 -  Bóng đèn huỳnh quang và các loại thủy tinh hoạt tính thải; 16 01 06 ( Rắn )
6 -  Hộp mực in thải 08 02 04 ( Rắn )
7 - NaOH đã qua sử dụng 02 02 01 ( Lỏng)
8 - Thùng kim loại dính dầu nhớt, hóa chất dính thành phần nguy hại 18 01 02  ( Rắn )
9 - Thùng nhựa dính thành phần nguy hại 18 01 03 ( Rắn )
10 - Axit thải 07 01 01 ( Lỏng)</t>
  </si>
  <si>
    <t>Chi nhánh Công ty TNHH Một Thành Viên Nông Sản DK Tại Tỉnh Bình Dương</t>
  </si>
  <si>
    <t>địa chỉ thu gom: thửa đất 877, tờ bản đồ số 7, ấp 3, phường Bình Cơ, TPHCM</t>
  </si>
  <si>
    <t>1 - Bóng đèn huỳnh quang thải  16 01 06
2 - Bao bì mền thải 18 01 01
3 - Bao bì cứng bằng kim loại bao gồm bình áp suất bảo đảm  hoàn toàn rỗng 18 01 02
4 - Bao bì cứng thải bằng nhựa 18 01 03
5 - Chai lọ đựng thuốc bảo vệ thực vật 18 01 04
6 - Các loại dung môi và hỗn hợp dung môi thải khác 17 08 03
7 - Các loại dầu động cơ, hộp số và bôi trơn thải khác 17 02 04
8 - Hóa chất hữu cơ và vô cơ thải 19 05 02
9 - Pin, ắc quy chì thải 19 06 01</t>
  </si>
  <si>
    <t>Chi Nhánh Công ty TNHH Pottery Craft Asia (Địa chỉ khu Uyên Hưng 8, phường Tân Uyên, TPHCM)</t>
  </si>
  <si>
    <t>1 - Giẻ lau, vải, bao tay, chất hấp thụ, vật liệu lọc dính dầu nhớt, sơn, dung môi, dính các thành phần nguy hại 18 01 01
2 - Thùng kim loại dính dầu, nhớt, sơn, dung môi 18 01 02
3 - Thùng nhựa dính thành phần nguy hại 18 01 03
4- Dầu nhớt thải 17 02 04
5 - Keo  thải 08 03 01
6- Cặn sơn, sơn và vecni thải có dung môi hữu cơ hoặc các thành phần nguy hại khác 08 01 01
7- Dung môi thải 17 08 03
8 - Hộp mực in thải 08 02 04
9 - Bóng đèn huỳnh quang thải 16 01 06
10- Pin, ắc quy chì thải 19 06 01
11 - Bùn thải từ hệ thống xử lý nước thải 12 06 05
12 - Chất thải lây nhiễm (bao gồm cả chất thải sắc nhọn) 13 01 01</t>
  </si>
  <si>
    <t>30/11/2027</t>
  </si>
  <si>
    <t>Lô N16, Đường N2,D2, KCN Nam Tân Uyên Mở Rộng, P. Bình Cơ, TPHCM</t>
  </si>
  <si>
    <t xml:space="preserve">Giấy vụn, Carton, gỗ vụn,ván vụn, dây đai, nilon, mút xốp,   </t>
  </si>
  <si>
    <t>Lô N16, Đường N2, D2, KCN Nam Tân Uyên Mở rộng, P. Bình Cơ, TPHCM</t>
  </si>
  <si>
    <t>1 - Hộp mực in thải có chứa các thành phần nguy hại 08 02 04
2 - Chất kế dính, chất bịt kín thải có dung môi hữu cơ hoặc các TP nguy hại 08 03 01
3 - Bóng đèn huỳnh quang và các loại thủy tinh hoạt tính thải 16 01 06 (rắn)
4 - Các loại dầu động cơ, hộp số bôi trơn thải khác 17 02 04
5 - Các loại dung môi và hỗn hợp dung môi thải khác 17 08 03
6 - Bao bì mềm thải 18 01 01
7 - Bao bì cứng thải bằng kim loại bao gồm cả bình chứa chứa áp suất bảo đảm rỗng hoàn toàn 18 01 02
8 - Bao bì cứng thải bằng nhựa 18 01 03
9 - Chất hấp thụ, vật liệu lọc (bao gồm cả vật liệu lọc dầu chưa nêu tại các mã khác) , giẻ lau , vải bảo vệ thải bị nhiễm các thành phần nguy hại 18 02 01 (rắn)
10 - Pin, ắc quy chì thải 19 06 01
11 - Cặn sơn thải, sơn thải 08 01 01</t>
  </si>
  <si>
    <t>8 bồn cắt</t>
  </si>
  <si>
    <t>Ngưng HĐ 21/11/2025</t>
  </si>
  <si>
    <t>25/8/2026</t>
  </si>
  <si>
    <t>Của hàng bán lẻ xăng dầu số 9. Địa chỉ: Thửa đất số 08, tờ bản đồ số 24, đường ĐT 746, Khu phố 5, P. Tân Uyên, TPHCM</t>
  </si>
  <si>
    <t>01	Dầu nhiên liệu và dầu diesel thải	Lỏng	17 06 01
02	Pin, ắc quy chì thải	Rắn	19 06 01
03	Bóng đèn và các loại thủy tinh hoạt tính thải	Rắn	16 01 06
04	Giẻ lau dính dầu nhớt thải	Rắn	18 02 01
05	Xăng dầu thải	Lỏng	17 06 02
6 - Dầu nhớt thải, cặn dầu nhớt thải 17 02 04</t>
  </si>
  <si>
    <t>26/11/2025</t>
  </si>
  <si>
    <t>1 lần/6 tháng 3,9</t>
  </si>
  <si>
    <t xml:space="preserve">Thửa đất số 190, tờ bản đồ số 38, Kp Ông Đông, P Tân Hiệp,TPHCM </t>
  </si>
  <si>
    <t xml:space="preserve">1 - Dung môi lẫn sơn thải 08 01 01
2 -  Hộp mực in thải 08 02 04 
3- Bóng đèn huỳnh quang và các loại thủy tinh hoạt tính 16 01 06
4-Dầu động cơ hộp số và bôi trơn thải 17 02 04
5- Dung môi thải 17 08 03
6- Bao bì cứng  kim loại dính/chứa hóa chất 18 01 02 
7 - Bao bì nhựa cứng loại dính/chứa hóa chất 18 01 03
8- Giẻ lau dính dầu nhớt, hóa chất 18 02 01 
9- Pin, ắc quy chì thải 19 06 01 
</t>
  </si>
  <si>
    <t>18 - Bao bì cứng thải bằng kim loại, thùng phuy 200L 18 01 02
19 - Bao bì cứng thải bằng kim loại, thùng thiếc 15 - 25L 18 01 02
20 - Bao bì cứng thải bằng nhựa, thùng 160L 18 01 03
22- Bao bì cứng thải bằng kim loại, can 01-05 lít 18 01 02
21- keo ghép 08 03 01
1 - Hộp mực máy in, photo, fax 08 02 04
2 - Dầu động cơ, hộp số và bôi trơn tổng hợp thải 17 02 03
3 - Chất hấp thụ, vật liệu lọc, giẻ lau, vải bảo vệ thải bị nhiễm các TPNH 18 02 01
4 - Bao bì cứng thải bằng kim loại bao gồm cả bình chứa áp suất bảo đảm rỗng hoàn toàn 18 01 02
5 - Bao bì cứng bằng nhựa thải (can chứa dầu, chai lọ dung môi hóa chất...) 18 01 03
6 - Dung môi 17 08 03
7 - Dầu thủy lực thải 17 01 06
8 - Bóng đèn huỳnh quang 16 01 06
9 - Pin, ắc quy thải 16 01 12
10 - Bùn thải từ HTXL nước thải 12 06 05
11 - Than hoạt tính từ HTXL hơi dung môi 12 01 04
12 - Mực in thải có TPNH 08 02 01
13 - Bùn mực thải có TPNH 08 02 02
14 - Chất kết dính và chất bịt kín thải có dung môi hữu cơ hoặc TPNH khác 08 03 01
15 - Mực in thải có TPNH (nguyên thùng, hết hạn) 08 02 01
16 - Các thiết bị, bộ phận, linh kiện điện tử thải (trừ bản mạch điện tử không chứa các chi tiết có các TPNH) 19 02 06
17 - Bình chứa áp suất thải chưa đảm bảo rỗng hoàn toàn 19 05 01</t>
  </si>
  <si>
    <t>P2.2-X2, module1, lô E9 và E10, KCN Nam Tân Uyên, P. Bình Cơ, TPHCM</t>
  </si>
  <si>
    <t xml:space="preserve">Chai lọ thủy tinh, giấy dán nhãn, nylon, carton, dây đai, mút xốp, gỗ vụn, giấy vụn </t>
  </si>
  <si>
    <t>Tổ 1, Khu phố Tân Hóa Khánh, P. Tân Hiệp, TPHCM</t>
  </si>
  <si>
    <t>1 - Thùng đựng dầu nhớt thải, sơn, dung môi 18 01 02
2 - Giẻ lau dính dầu nhớt, sơn, dung môi, keo 18 02 01
3 - Thùng nhựa đựng keo thải 18 01 03
4 - Sơn thải 08 01 01
5 - dầu nhớt thải 17 02 04
6 - Bóng đèn huỳnh quang thải 16 01 06
7 - Dung môi thải 17 08 03
8 - Keo thải 08 03 01
9 - Hộp mực in  08 02 04
10 - Pin, ắc quy chì thải  19 06 01
11 - Gỗ vụn, dính keo, sơn thải 09 01 01
12 - Rác y tế 13 01 01
13 - Bùn từ hệ thống xử lý nước thải 12 06 05</t>
  </si>
  <si>
    <t>Công ty TNHH Môi Trường Thuận Giao Phát</t>
  </si>
  <si>
    <t>1 lần/6 tháng 6,12</t>
  </si>
  <si>
    <t xml:space="preserve">Giấy vụn, Carton, gỗ vụn, dây đai, nilon, mút xốp,   </t>
  </si>
  <si>
    <t>Mang 4 bồn cắt</t>
  </si>
  <si>
    <t>20/05/2027</t>
  </si>
  <si>
    <t>5</t>
  </si>
  <si>
    <t>4/11/2026</t>
  </si>
  <si>
    <t>1 - Các loại dầu thải từ quá trình rửa thiết bị khác 17 07 03</t>
  </si>
  <si>
    <t>Ép</t>
  </si>
  <si>
    <t>4 Ngưng HĐ 09/12/2025</t>
  </si>
  <si>
    <t>02 lần/ năm
06/2026 ; 12/2026</t>
  </si>
  <si>
    <t>Công ty TNHH Đồ Gỗ Viễn Cường</t>
  </si>
  <si>
    <t>Thửa đất số 524, 527, 528, 529, 530,531, TBĐS 37, đường Khánh Bình 24, tổ 2, KP. Long Bình, P. Tân Hiệp, TPHCM</t>
  </si>
  <si>
    <t>1- Cặn sơn, sơn và vecni thải có dung môi hữu cơ hoặc các thành phần nguy hại thải khác 08 01 01
2 - Hộp mực in thải  có các thành phần nguy hại 08 02 04
3 - Chất kết dính và chất bịt kín thải có dung môi hữu cơ hoặc các TPNH khác 08 03 01 
4- Bùn thải có thành phần nguy hại từ HTXLNT công nghiệp khác 12 06 05
5- Bóng đèn huỳnh quang và các loại thủy tinh hoạt tính thải 16 01 06
6- Các loại dầu động cơ, hộp số, và bôi trơn thải khác 17 02 04
7-  Các loại dung môi và các loại hỗn hợp dung môi thải khác 17 08 03
8- Bao bì mềm thải 18 01 01
9- Bao bì cứng thải bằng kim loại bao gồm cả bình chứa áp suất  bảo đảm rỗng hoàn toàn 18 01 02
10- Bao bì cứng thải bằng nhựa 18 01 03
11- - Chất hấp thụ, vật liệu lọc (bao gồm cả vật liệu lọc dầu chưa nêu tại các mã khác) , giẻ lau , vải bảo vệ thải nhiễm các thành phần nguy hại 18 02 01 (rắn)
12 - Pin, ắc quy chì thải 19 06 01
13- Các loại chất thải khác có các thành phần nguy hại hữu cơ 19 12 02</t>
  </si>
  <si>
    <t>Lô P1, P2, Dường D2 &amp; N2, KCN Nam Tân Uyên Mở Rộng, P. Tân Uyên, TPHCM</t>
  </si>
  <si>
    <t>1 - Bùn mực  thải có các thành phần nguy hại 08 02 02
2 - Hộp mực in thải  có các thành phần nguy hại 08 02 04
3 - Chất kết dính và chất bịt kín thải có dung môi hữu cơ hoặc các TPNH khác 08 03 01 (rắn/lỏng)
4 - Bóng đèn huỳnh quang và các loại thủy tinh hoạt tính thải 16 01 06 (rắn)
5 - Các loại dầu động cơ, hộp số, và bôi trơn thải khác 17 02 04
6 - Bao bì mền thải 18 01 01
7 - Bao bì cứng thải bằng kim loại bao gồm cả bình chứa áp suất  bảo đảm rỗng hoàn toàn 18 01 02
8- Bao bì cứng thải bằng nhựa 18 01 03
9 - Chất hấp thụ, vật liệu lọc (bao gồm cả vật liệu lọc dầu chưa nêu tại các mã khác) , giẻ lau , vải bảo vệ thải nhiễm các thành phần nguy hại 18 02 01 (rắn)
10 - Pin, ắc quy chì thải 19 06 01</t>
  </si>
  <si>
    <t>1- Bao bì mềm thải 18 01 01 (BS)</t>
  </si>
  <si>
    <t>16/12/2025</t>
  </si>
  <si>
    <t>PLHĐ BỔ SUNG CHẤT THẢI</t>
  </si>
  <si>
    <t>Số 15, đường Khánh Bình 68, tổ 1 Kp Bình Khánh, P. Tân Hiệp, TPHCM</t>
  </si>
  <si>
    <t>1 - Bóng đèn huỳnh quang và các loại thủy tinh hoạt tính thải 16 01 06 (rắn)
2-  Các loại dầu động cơ thải 17 02 04
3- Bao bì cứng bằng kim loại (đã chứa chất thải khi thải ra là CTNH hoặc chứa áp suất chưa đảm bảo rỗng hoặc có lớp lót rắn nguy hại nhưa amiang ) thải 18 01 02
4- Bao bì nhựa cứng (đã chứa chất thải khi thải ra là CTNH) thải 18 01 03
5-  Chất hấp thụ, vật liệu lọc (bao gồm cả vật liệu lọc dầu chưa nêu tại các mã khác) , giẻ lau , vải bảo vệ thải bị nhiễm các thành phần nguy hại 18 02 01
6- Pin, ắc quy chì thải 19 06 01
7- Bao bì mền (đã chứa chất thải khi thải ra là CTNH) thải
8- Than hoạt tính đã qua sử dụng từ quá trình xử lý khí 12 01 04
9- Bùn thải từ quá trình xử lý nước thải 12 06 05</t>
  </si>
  <si>
    <t>19/12/2025</t>
  </si>
  <si>
    <t>Lô A3, Đường N1, Cụm công nghiệp Tân Mỹ,  P. Tân Uyên, TPHCM</t>
  </si>
  <si>
    <t>1 - Dầu nhớt thải 17 02 04(Lỏng)
2 - Bóng đèn huỳnh quang thải 16 01 06 ( Rắn)
3 - Giẻ lau dính dầu nhớt, hóa chất 18 02 01
4 - Pin, ắc quy chì thải 19 06 01 ( Rắn)
5 - Hộp mực in  08 02 04 ( Rắn)
6 - Thùng đựng sơn thải 18 01 02 ( Rắn)
7 - Thùng sắt đựng keo thải 18 01 02 ( Rắn)
8 - Keo thải 08 03 01 ( Rắn)
9 -Cặn sơn, sơn, vecni thải, các thành phần nguy hại khác 08 01 01 ( Rắn)
10 - Dung môi thải 08 01 05 (Lỏng)
11 - Bao bì mềm chứa, dính hóa chất 18 01 01( Rắn)</t>
  </si>
  <si>
    <t>1 - Bụi khí thải 05 05 01
2 - Chất thải rắn thải từ quá trình xử lý khí thải 05 05 02
3 - Bùn và bã lộc từ qua trình xử lý khí thải 05 05 03
4 - Hộp mực in thải 08 02 04
5 - Bóng đèn huỳnh quang thải 16 01 06
6 - Dầu thủy lực tổng hộp thải 17 01 06
7 - Dầu nhớt thải 17 02 04
8 - Bao bì cứng thải bằng kim loại 18 01 02
9 - Chất hấp thụ, giẻ lau 18 02 01
10 - Pin, ắc quy chì thải 19 06 01
11 - Nước thải có các thành phần nguy hại 19 10 01
12 - Nhũ tương và dung dịch thải không hộp chất halogen 07 03 04
13 - Nước thải lẫn dầu 07 02 03
14 - Nước thải dầu kéo dây dạng nhũ 07 03 04
15 - Bùn thải dầu kéo dây 07 03 07</t>
  </si>
  <si>
    <t>Lô 1A1, đường CN8 và CN15, KCN Tân Bình, P. Chánh Phú Hòa, TPHCM</t>
  </si>
  <si>
    <t>Xà bần, xi măng, cát, đá thải</t>
  </si>
  <si>
    <t>06/11/2026</t>
  </si>
  <si>
    <t>CÔNG TY CỔ PHẦN B.B ĐẠI MINH</t>
  </si>
  <si>
    <t>Chi nhánh CÔNG TY CỔ PHẦN B.B ĐẠI MINH
Địa chỉ: Cụm công nghiệp Tp Đẹp, thửa 25, tổ 1, KP Ông Đông, Phường Tân Hiệp, tân Uyên, BD</t>
  </si>
  <si>
    <t>20/04/2027</t>
  </si>
  <si>
    <t>xe ben</t>
  </si>
  <si>
    <t>1 lần/6 tháng 1,6</t>
  </si>
  <si>
    <t>Cẩu 1 bành</t>
  </si>
  <si>
    <t>Ngưng HĐ 22/12/2025</t>
  </si>
  <si>
    <t>5 Ngưng HĐ 22/12/2025</t>
  </si>
  <si>
    <t>1 - Giẻ lau 18 02 01
2 - Bao bì nhựa dính thành phần nguy hại 18 01 03
3 - Bao bì cứng bằng kim loại dính thành phần nguy hại 18 01 02
4 - Bao bì mềm thải 18 01 01</t>
  </si>
  <si>
    <t>6 Ngưng HĐ 30/12/2025</t>
  </si>
  <si>
    <t>4 Ngưng HĐ 30/12/2025</t>
  </si>
  <si>
    <t>4 Ngưng HĐ 12/01/2026</t>
  </si>
  <si>
    <t>10h30 Thùng nhỏ</t>
  </si>
  <si>
    <t>CÔNG TY TNHH TNI KING COFFEE - CHI NHÁNH TÂN UYÊN</t>
  </si>
  <si>
    <t>Lô G3, G4, G8, G9, Một phần lô G2 và Một phần lô G7, Đường N3, N4, KCN Nam Tân Uyên, Phường Tân Hiệp, Tp HCM</t>
  </si>
  <si>
    <t>18/11/2026</t>
  </si>
  <si>
    <t>Công Ty TNHH Kiswire Việt Nam</t>
  </si>
  <si>
    <t>Số 28, đường số 3, KCN Vsip III, Phường Tân Uyên, Thành phố Hồ Chí Minh, Việt Nam</t>
  </si>
  <si>
    <t>22/01/2026</t>
  </si>
  <si>
    <t>12	Dầu bôi trơn, chống gỉ thải	Lỏng	17 02 04
13	Bùn thải lẫn dầu	Bùn 	17 05 02</t>
  </si>
  <si>
    <t>27/11/2027</t>
  </si>
  <si>
    <t>Carton, nilon, dây đai, mút xốp, gỗ vụn, sắt vụn, nhựa thải, vải vụn, giấy vụn</t>
  </si>
  <si>
    <t>ép nhỏ hoặc cẩu</t>
  </si>
  <si>
    <t>CÔNG TY TNHH REPUBLIC BISCUIT CORPORATION VIỆT NAM</t>
  </si>
  <si>
    <t>Số 15 VSIP II-A, Đường số 32, Khu công nghiệp Việt Nam - Singapore II-A, Phường Vĩnh Tân, TP. Hồ Chí Minh, Việt Nam</t>
  </si>
  <si>
    <t>27/01/2026</t>
  </si>
  <si>
    <t>4 Ngưng HĐ 23/01/2026</t>
  </si>
  <si>
    <t>24/12/2026</t>
  </si>
  <si>
    <t>Ngưng HĐ 26/01/2026</t>
  </si>
  <si>
    <t>Ngưng HĐ 27/01/2026</t>
  </si>
  <si>
    <t>4 Ngưng HĐ 27/01/2026</t>
  </si>
  <si>
    <t>5 Ngưng HĐ 27/01/2026</t>
  </si>
  <si>
    <t>2,4,7 Ngưng HĐ 01/02/2026</t>
  </si>
  <si>
    <t>2,4,6 Ngưng HĐ 27/01/2026</t>
  </si>
  <si>
    <t>3 Ngưng HĐ 27/01/2026</t>
  </si>
  <si>
    <t>Công Ty TNHH Fine Scandinavia</t>
  </si>
  <si>
    <t>Nhà xưởng số 1,2, Lô A12-1, đường D2, khu B, khu công nghiệp Đất Cuốc, Xã Bắc Tân Uyên, Thành phố Hồ Chí Minh, Việt Nam</t>
  </si>
  <si>
    <t xml:space="preserve">1	Chất hấp thụ, vật liệu lọc, giẻ lau, bao tay, vải bảo vệ thải bị nhiễm các TPNH	Rắn	18 02 01
2	Các loại dung môi và hỗn hợp dung môi thải khác	Lỏng	17 08 03
3	Bóng đèn huỳnh quang thải	Rắn	16 01 06
4	Các loại dầu động cơ, hộp số và bôi trơn thải	Lỏng	17 02 03
5	Pin, ắc quy chì thải	Rắn	19 06 01
6	Bùn thải có thành phần nguy hại	Bùn	07 03 07
7	Bao bì cứng thải bằng nhựa	Rắn	18 01 03
8	Bao bì mềm thải	Rắn	18 01 01
9	Cặn sơn thải	Rắn	08 01 01
10	Vật thể mài đã qua sử dụng có các TPNH	Rắn	07 03 10
</t>
  </si>
  <si>
    <t>cẩu lớn
Mang 2 bồn cắt</t>
  </si>
  <si>
    <t>Chất thải công nghiệp: nylon, dây đai, mút xốp, giấy vụn, gỗ vụn, da thải, vải vụn không dính thành phần nguy hại,…</t>
  </si>
  <si>
    <t>1 - Bóng đèn huỳnh quang thải và các loại thủy tinh hoạt tính thải 16 01 06(rắn)
2 - Hộp mực in thải có các TPNH 08 02 04(rắn)
3 - Các loại dầu động cơ, hộp số và bôi trơn thải khác 17 02 04(lỏng)
4 - Chất hấp thụ, vật liệu lọc, giẻ lau, vải bảo vệ thải bị nhiễm các TPNH 18 02 01(rắn)
5 - Bùn thải có chứa các thành phần nguy hại từ quá trình xử lý nước thải 12 06 05(bùn)
6 - Pin, ắc quy chì thải 19 06 01(rắn)
7 - Bao bì mền thải 18 01 01(rắn)
8 - Bao bì cứng thải bằng kim loại 18 01 02(rắn)</t>
  </si>
  <si>
    <t>Đất đá từ quá tình sàng lọc phế liệu, giấy vụn, gỗ vụn, nylon, nhựa thải</t>
  </si>
  <si>
    <t>1 - Hộp mực in thải có các TPNH 08 02 04
2 - Bóng đèn huỳnh quang và các loại thủy tinh hoạt tính 16 01 06
3 - Các loại dầu động cơ, hộp số và bôi trơn tổng hợp thải 17 02 04
4 - Bao bì mềm thải 18 01 01
5 - Bao bì cứng thải bằng kim loại bao gồm cả bình chứa áp suất đảm bảo rỗng hoàn toàn 18 01 02
6 - Bao bì cứng thải bằng nhựa 18 01 03
7 - Chất hấp thụ, vật liệu lọc (bao gồm cả vật liệu lọc dầu chưa nêu tại các mã khác), giẻ lau, vải bảo vệ thải bị nhiễm các thành phần nguy hại 18 02 01
8 - Pin, ắc quy chì thải 19 06 01
9 - Bùn thải có các TPNH từ quá trình xử lý nước thải 12 06 05</t>
  </si>
  <si>
    <t>TDS 539, TBĐS 13, KP Tân Hoá, P, Tân Khánh, TPHCM</t>
  </si>
  <si>
    <t>20/01/2028</t>
  </si>
  <si>
    <t>số 03/D9X-TH, Tổ 5, KP. Tân Hóa, P. Tân Khánh, TPHCM</t>
  </si>
  <si>
    <t>1 - Bao bì cứng bằng nhựa 18 01 03(rắn)
2 - Bao bì cứng thải bằng kim loại bao gồm cả bình chứa áp suất bảo đảm rỗng hoàn toàn 18 01 02 (rắn)
3 - Chất hấp thụ, vật liệu lọc (bao gồm cả vật liệu lọc dầu chưa nêu tại các mã khác) , giẻ lau , vải bảo vệ thải bị nhiễm các thành phần nguy hại 18 02 01 (rắn)
4 -  Các loại dầu động cơ, hộp số bôi trơn thải khác 17 02 04(lỏng)
5 - Hộp mực in có các TPNH  08 02 04(rắn)
6- Bóng đèn huỳnh quang và các loại thủy tinh hoạt tính thải 16 01 06 (rắn)
7 - Pin, ắc quy chì thải 19 06 01(rắn)
8 - Các loại dung môi và hỗn hợp dung môi thải khác 17 08 03 (lỏng)
9 - Chất thải lây nhiễm (bao gồm chất thải sắt nhọn) 13 01 01(rắn)
10 - Cặn sơn, sơn, vecni thải có các thành phần dung môi hữu cơ hoặc các thành phần nguy hại khác 08 01 01 (lỏng)
11 - Bùn thải có TPNH từ quá trình xử lý nước thải công nghiệp 12 06 05(bùn)
12 -Bao bì mềm thải 18 01 01(rắn)
13 - Các loại chất thải khác có các TP nguy hại hữu cơ 19 12 02(lỏng)</t>
  </si>
  <si>
    <t>4 Ngưng HĐ 03/02/2026</t>
  </si>
  <si>
    <t>16/02/2026</t>
  </si>
  <si>
    <t>17/02/2026</t>
  </si>
  <si>
    <t>12A vsip II-A, đường số 28, KCN VN-singapore IIA, Phường Vĩnh Tân, TP HCM</t>
  </si>
  <si>
    <t>25/02/2026</t>
  </si>
  <si>
    <t>Công ty TNHH HanSung Tech</t>
  </si>
  <si>
    <t xml:space="preserve"> 12A Vsip II-A, Đường số 28, KCN VN - Singapore, Phường Vĩnh Tân, Tp HCM</t>
  </si>
  <si>
    <t>1 - Dầu tổng hợp thải từ quá trình gia công tạo hình (dầu gia công, làm mát thải, cặn lẫn dầu tẩy rửa thải) 07 03 05
2 - Phôi từ quá trình gia công tạo hình hoặc vật liệu bì mài ra lẩn dầu, nhũ tương hay dung dịch thải có dầu hoặc các TPNH khác (bụi kim loại từ quá trình thổi khí nén bên ngoài ống dẫn) 07 03 11
3 - Phôi từ quá trình gia công tạo hình hoặc vật liệu bì mài ra lẩn dầu, nhũ tương hay dung dịch thải có dầu hoặc các TPNH khác (kim loại, vụn kim loại dính dầu gia công, dầu làm mát) 07 03 11
4 - Bóng đèn huỳnh quang và các loại thuỷ tinh hoạt tính thải 16 01 06
5 - Các loại dầu động cơ, hộp số và bôi trơn thải khác 17 02 04
6 - Que hàn có các kim loại nặng hoặc TPNH (thiếc hàn thải) 07 03 05
7 -Bao bì cứng thải bằng kim loại bao gồm cả bình chứa áp suất rỗng hoàn toàn 18 01 02 (rắn)
8 - Bao bì cứng bằng nhựa 18 01 03
9 - Chất hấp thụ, vật liệu lọc, giẻ lau, vải bảo vệ thải bị nhiễm các thành phần nguy hại 18 02 01 (rắn)
10 - Ắc quy chỉ thải 19 06 01</t>
  </si>
  <si>
    <t>26/02/2026</t>
  </si>
  <si>
    <t>Wanek 4: Lô F3 &amp; F18, đường N4-N5, khu công nghiệp Nam Tân Uyên mở rộng, phường Bình Cơ, Tp HCM</t>
  </si>
  <si>
    <t>31/01/2027</t>
  </si>
  <si>
    <t>Wanek 5: Số 23, VSIP II-A, Đường số 32, Khu Công Nghiệp Việt Nam – Singapore II-A, Phường Vĩnh Tân, Tp HCM</t>
  </si>
  <si>
    <t>Công ty TNHH Đầu Tư Phát Triển Dịch Vụ Phúc Thịnh</t>
  </si>
  <si>
    <t>4 Ngưng HĐ 25/02/2026</t>
  </si>
  <si>
    <t>Chất thải công nghiệp: Bao bì đựng bánh, kẹo thải, giẻ lau, bao bì đựng nguyên liệu, bán thành phẩm bỏ (SFG disposal), vỏ trứng thải, các loại ống dẫn kem, khí (ống PU, ống gân kẽm) không dính TPNH</t>
  </si>
  <si>
    <t>13h</t>
  </si>
  <si>
    <t>Ngưng HĐ 02/03/2026</t>
  </si>
  <si>
    <t>4 Ngưng HĐ 27/02/2026</t>
  </si>
  <si>
    <t>04/03/2026</t>
  </si>
  <si>
    <t>1 - Hộp mực in thải có chứa các TPNH 08 02 04
2 - Bóng đèn huỳnh quang và các loại thủy tinh hoạt tính thải 16 01 06
3 - Các loại dầu động cơ, hộp số và bôi trơn thải khác 17 02 04
4 - Bao bì cứng thải bằng kim loại bao gồm cả bình chứa áp suất bảo đảm rỗng hoàn toàn 18 01 02
5 - Bao bì cứng thải bằng nhựa 18 01 03
6 - Chất hấp thụ, vật liệu lọc (bao gồm cả vật liệu lọc dầu chưa nêu tại các mã khác), giẻ lau, vải bảo vệ thải bị nhiễm các TPNH 18 02 01
7 - Pin, ắc quy chì thải 19 06 01
8 - Chất lỏng dễ cháy có chứa các TPNH 12 02 04
9 - Chất thải có chứa các tác nhân lây nhiễm 13 01 01
10 - Thiết bị, linh kiện điện tử thải 15 02 14</t>
  </si>
  <si>
    <t>1 - Cặn sơn, sơn và véc ni thải có dung môi hữu cơ hoăc các thành phần nguy hại khác 08 01 01 ( Rắn/Lỏng)
2 - Bùn thải lẫn sơn hoặc véc ni có dung môi hữu cơ hoăc các thành phần nguy hại khác 08 01 02 ( Bùn)
3 - Hộp mực in thải có chứa các TPNH 08 02 04 ( Rắn)
4 - Chất kết dính và chất bịt kín thải có chứa dung môi hữu cơ hoặc các thành phần nguy hại khác 08 03 01  ( Rắn)
5 - Bóng đèn huỳnh quang và các loại thủy tinh hoạt tính thải 16 01 06  ( Rắn)
6 - Các loại dầu động cơ, hộp số và bôi trơn thải khác 17 02 04 ( Lỏng)
7 - Các loại dung môi và hỗn hợp dung môi thải khác 17 08 03( Lỏng)
8 - Bao bì mền thải 18 01 01( Rắn)
9  -Bao bì cứng thải bằng nhựa 18 01 03( Rắn)
10 - Chất hấp thụ, vật liệu lọc (bao gồm cả vật liệu lọc dầu chưa nêu tại các mã khác), giẻ lau, vải bảo vệ thải bị nhiễm các TPNH 18 02 01( Rắn)
11 - Pin, ắc quy chì thải 19 06 01( Rắn)
12 - Các loại chất thải khác có các thành phần nguy hại hữu cơ 19 12 02( Rắn)
13 - Sợi thủy tinh dính thành nguy hại 18 02 01( Rắn)
14 - Bao bì cứng thải bằng kim loại bao gồm cả bình chứa áp suất đảm bảo rỗng hoàn toàn (Thùng phuy sắt 25L) 18 01 02( Rắn)
15 - Nhựa, nhựa thải có hoặc bị nhiễm các thành phần nguy hại  18 01 03( Rắn)</t>
  </si>
  <si>
    <t>10/03/2026</t>
  </si>
  <si>
    <t>Ô 17,2, Lô B17, Đường D5, Khu A, KCN Đất Cuốc, Xã Bắc Tân Uyên, Tp HCM</t>
  </si>
  <si>
    <t>Chi Nhánh Công ty TNHH Vĩnh Hiệp (Lô R3, đường D7-N11, KCN Nam TU, Phường Khánh Bình, Tp tân Uyên, Bình Dương)</t>
  </si>
  <si>
    <t>1 - Chất hấp thụ, vật liệu lọc (bao gồm cả vật liệu lọc dầu chưa nêu tại các mã khác), giẻ lau, vải bảo vệ thải bị nhiễm các TPNH 18 02 01
2 - Hộp mực in thải có chứa các TPNH 08 02 04
3 - Bóng đèn huỳnh quang và các loại thủy tinh hoạt tính thải 16 01 06
4 - Các loại dầu động cơ, hộp số và bôi trơn thải khác 17 02 04
5 - Bao bì mền thải 18 01 01
6 - Pin, ắc quy chì thải 19 06 01
7 - Xỉ than lò thải 12 01 05</t>
  </si>
  <si>
    <t>Nylon, dây đai, mút xốp, giấy vụn, băng keo thải, vỏ cà phê, cát sỏi, bao bì giấy</t>
  </si>
  <si>
    <t>Lô R6, R7, đường N1, khu công nghiệp Nam tân Uyên mở rộng, phường tân Uyên, Tp HCM</t>
  </si>
  <si>
    <t xml:space="preserve">1 - Mực in thải có các thành phần nguy hại 08 02 04(rắn)
2 - Bùn mực thải có các thành phần nguy hại 08 02 02(bùn)
3 - Hộp mực in thải có chứa các thành phần nguy hại 08 02 04(rắn)
4 - Chất kết dính và chất bịt kín thải có dung môi hữu cơ hoặc các thành phần nguy hại khác 08 03 01(lỏng)
5 - Bóng đèn huỳnh quang và các loại thủy tinh hoạt tính thải 16 01 06(rắn)
6 - Các loại dầu động cơ, hộp số và bôi trơn thải 17 02 04(lỏng)
7 - Các loại dung môi và hỗn hợp dung môi thải khác 17 08 03(lỏng)
8 - Bao bì mềm thải 18 01 01(rắn)
9 - Bao bì cứng thải bằng kim loại bao gồm cả bình chứa áp suất đảm bảo rỗng hoàn toàn 18 01 02(rắn)
10 - Chất hấp thụ, vật liệu lọc ( bao gồm cả vật liệu lọc dầu chưa nêu tại các mã khác), giẻ lau, vải bảo vệ thải bị nhiễm các thành phân nguy hại 18 02 01(rắn)
11 - Pin, ắc quy chì thải 19 06 01(rắn)
</t>
  </si>
  <si>
    <t>Chi Nhánh Công Ty TNHH Một Thành Viên Se My</t>
  </si>
  <si>
    <t>Số 30, Tổ 4, Khu phố Dư Khánh, Phường Tân Khánh, Tp HCM</t>
  </si>
  <si>
    <t>1 - Giẻ lau dính thành phần nguy nguy hại 18 02 01 ( Rắn )
2 - Thùng đựng hóa chất, sơn thải bằng kim loại 18 01 02( Rắn )
3 - Thùng đựng hóa chất, sơn thải bằng nhựa 18 01 03( Rắn )
4 - Bóng đèn huỳnh quang thải 16 01 06( Rắn )
5 - Mực in thải 08 02 01 ( Lỏng )</t>
  </si>
  <si>
    <t>11/03/2026</t>
  </si>
  <si>
    <t>13/01/2027</t>
  </si>
  <si>
    <t>Công ty Cổ Phần Gỗ Tân Thành</t>
  </si>
  <si>
    <t>TĐS 484, TBĐS 05, Khu phố Khánh Lộc, Phường Tân Khánh, Tp HCM</t>
  </si>
  <si>
    <r>
      <t xml:space="preserve">Chất thải công nghiệp không dính thành phần nguy hại </t>
    </r>
    <r>
      <rPr>
        <sz val="14"/>
        <rFont val="Times New Roman"/>
        <family val="1"/>
      </rPr>
      <t>: Carton, nilon, dây đai, mút xốp, gỗ vụn, vải vụn, simili vụn</t>
    </r>
  </si>
  <si>
    <t>12/03/2026</t>
  </si>
  <si>
    <t>CHI NHÁNH CẤP NƯỚC KHU LIÊN HỢP - CÔNG TY CP - TỔNG CÔNG TY NƯỚC - MÔI TRƯỜNG BÌNH DƯƠNG</t>
  </si>
  <si>
    <t>Số 303, Đường số 85, Khu phố Phú Chánh, Phường Tân Hiệp, Tp HCM</t>
  </si>
  <si>
    <t>20/01/2027</t>
  </si>
  <si>
    <t>Nylon, mút xốp, giấy vụn, vải vụn</t>
  </si>
  <si>
    <t>1 - Muối và dung dịch muối thải có kim loại năng 02 03 02(rắn)
2 - Axit tây thải 07 01 13 (lỏng)
3 - Bùn thải và bả lộc có các TPNH 07 01 05(bùn)
4 - Bùn thải nghiền, mài có dầu 07 03 09(bùn)
5 - Cặn sơn, sơn và vecni thải có dung môi hữu cơ hoặc các TPNH khác 08 01 01(rắn)
6 - Hộp mực in thải có các TPNH 08 02 04(rắn)
7 - Than hoạt tính đã qua sử dụng từ quá trình xử lý khí thải 12 01 04(rắn)
8 - Bóng đèn huỳnh quang và các loại thủy tinh hoạt tính thải 16 01 06(rắn)
9 - Các loại dầu động cơ, hộp số và bôi trơn thải khác 17 02 04(;lỏng)
10 - Các loại dung môi và hỗn hợp dung môi thải khác 17 08 03(lỏng)
11 - Bao bì mền thải 18 01 01(rắn)
12 - Bao bì cứng thải bằng kim loại bao gồm cả bình chưa áp suất rỗng hoàn toàn 18 01 02(rắn)
13 - Bao bì cứng thải bằng nhựa 18 01 03(rắn)
14 - Chất hấp thụ, vật liệu lọc (bao gồm cả vật liệu lọc dầu chưa nêu tại các mã khác), giẻ lau, vải bảo vệ thải bị nhiễm các TPNH 18 02 01(rắn)
15 - Pin, ắc quy chì thải 19 06 01(rắn)</t>
  </si>
  <si>
    <t>Thửa đất số 357, tờ bản đồ số 14, KP Khánh Long, Phường Tân Khánh, Tp HCM</t>
  </si>
  <si>
    <t>1 - Bóng đèn huỳnh quang và các loại thủy tinh hoạt tính thải 16 01 06 (rắn)
2 - Chất hấp thụ, vật liệu lọc (bao gồm cả vật liệu lọc dầu chưa nêu tại các mã khác) , giẻ lau , vải bảo vệ thải bị nhiễm các thành phần nguy hại 18 02 01 (rắn)
3 - Bao bì mền thải 18 01 01(rắn)
4 - Giấy nhám thải 07 03 10 (rắn)
5 - Bao bì cứng thải bắng kim loại dính TPNH 18 01 02(rắn)
6 - Keo thải 08 03 01(lỏng)
7 - Pin, ắc quy chì thải 19 06 01(rắn)
8 - Chất thải từ quá trình sản xuất thủy tinh và gốm sứ gạch ngói, tấm ốp 06 01 01(rắn)</t>
  </si>
  <si>
    <t>Lô F4, F5, F6 Đường N5, KCN Nam Tân Uyên Mở Rộng, Phường Bình Cơ, Tp HCM</t>
  </si>
  <si>
    <t>1 - Mực in thải có các thành phần nguy hại 08 02 01 ( Rắn/ Lỏng)
2 - Hộp mực in thải có các thành phần nguy hại 08 02 04( Rắn)
3 - Chất kết dính và chất bịt kín thải có dung môi hữu cơ hoặc có các thành phần nguy hại 08 03 01 ( LỎng)
4 - Bùn thải có các thành phần nguy hại từ quá trình xử lý nước thải công nghiệp khác 12 06 05 ( Bùn)
5 - Chất thải lây nhiễm (bao gồm cả chất thải sắc nhọn) 13 01 01( Rắn)
6 - Bóng đèn huỳnh quang và các loại thủy tinh hoạt tính thải 16 01 06( Rắn)
7 - Các loại dầu động cơ, hộp số và bôi trơn thải 17 02 04 ( Lỏng)
8 - Các loại dung môi và hỗn hợp dung môi thải khác 17 08 03 ( Lỏng)
9 - Bao bì mền thải 18 01 01( Rắn)
10 - Bao bì cứng thải bằng kim loại bao gồm cả bình chứa áp suất bảo đảm rỗng hoàn toàn 18 01 02( Rắn)
11 - Bao bì cứng thải bằng nhựa 18 01 03( Rắn)
12 - Chất hấp thụ, vật liệu lọc (bao gồm cả vật liệu lọc dầu chưa nêu tại các mã khác), giẻ lau, vải bảo vệ thải bị nhiễm các TPNH 18 02 01( Rắn)
13 - Pin, ắc quy chì thải 19 06 01( Rắn)</t>
  </si>
  <si>
    <r>
      <t xml:space="preserve">343 Phạm Ngũ Lão, P.Phạm Ngũ Lão , Q.1, TP.HCM 
</t>
    </r>
    <r>
      <rPr>
        <b/>
        <sz val="14"/>
        <rFont val="Times New Roman"/>
        <family val="1"/>
      </rPr>
      <t>Địa chỉ thu gom (Ấp Thường Tân 2, xã Thường Tân, Tp HCM)</t>
    </r>
  </si>
  <si>
    <t xml:space="preserve">1 - Thùng đựng dầu nhớt thải 18 01 01 ( rắn)
2 -Dầu nhớt thải 17 02 04 ( Lỏng)
3 - Giẻ lau, bao tay dính dầu nhớt 18 02 01 ( rắn)
4 - Bóng đèn huỳnh quang thải 16 01 06 ( rắn)
5 - Pin, ắc quy chì thải 19 06 01 ( rắn)
6 -Hộp mực in thải 08 02 04 ( rắn)
7 - Các linh kiện, thiết bị điện, điện tử thải 19 02 05 ( rắn)
</t>
  </si>
  <si>
    <r>
      <t>01 lần/6tháng 5,</t>
    </r>
    <r>
      <rPr>
        <b/>
        <sz val="14"/>
        <rFont val="Times New Roman"/>
        <family val="1"/>
      </rPr>
      <t>11</t>
    </r>
  </si>
  <si>
    <t>20/02/2028</t>
  </si>
  <si>
    <r>
      <t xml:space="preserve">5 đường số 82, KP1, P. Thạnh Mỹ Lợi, Thủ Đức, TP.HCM
</t>
    </r>
    <r>
      <rPr>
        <b/>
        <sz val="14"/>
        <rFont val="Times New Roman"/>
        <family val="1"/>
      </rPr>
      <t>Thu Gom : TĐS 889, 890, Ấp 2, Xã Thường Tân, Tp HCM</t>
    </r>
  </si>
  <si>
    <t>1 - Bóng đèn huỳnh quang thải 16 01 06
2 - Giẻ lau dính dầu nhớt thải 18 02 01
3 - Dầu nhớt thải 17 02 04
4 - Thùng, bao bì đựng dầu nhớt thải 18 01 01
5 - Pin, ắc quy chì thải 19 06 01
6 - Hộp mực in thải 08 02 04</t>
  </si>
  <si>
    <t>Bao nylon dính bột kem, keo thải, vỏ kẹo bánh, nhãn trà, hộp giấy, chai nhựa, dây nylon, dây đai, ly nhựa, bao đựng trà, bột kem hủy, bột cà phê, can nhựa, kẹo hủy, nhân kẹo, váng dầu, tấm lọc AHU</t>
  </si>
  <si>
    <t>ép nhỏ 1200k</t>
  </si>
  <si>
    <t>01 lần/tháng 5,11</t>
  </si>
  <si>
    <t>02 lần/ năm 4, 10</t>
  </si>
  <si>
    <t>01 lần/6 tháng 4, 10</t>
  </si>
  <si>
    <t>Công ty TNHH Trimmers TU</t>
  </si>
  <si>
    <r>
      <t xml:space="preserve">Lô D-7F-CN, KCN Mỹ Phước III, TX, BC, BD
Địa chỉ thu gom: Nhà xưởng 1, </t>
    </r>
    <r>
      <rPr>
        <b/>
        <sz val="14"/>
        <rFont val="Times New Roman"/>
        <family val="1"/>
      </rPr>
      <t>Lô O, đường D5, KCN Nam Tân Uyên, Phường Tân Hiệp, Tp HCM</t>
    </r>
  </si>
  <si>
    <t>1 - Bao bì cứng thải bằng kim loại bao gồm cả bình chứa áp suất bảo đảm rỗng hoàn toàn 18 01 02
2 - Chất hập thụ, vật liệu lọc ( bao gồm cả vật liệu lọc dầu chưa nêu tại các mã khác),Giẻ lau, vải bảo vệ thải bị nhiễm các thành phần nguy hại 18 02 01
3 - Bóng đèn huỳnh quang và các loại thủy tinh hoạt tính thải 16 01 06
4 - Hộp mực in thải có các thành phần nguy hại 08 02 04
5 - Pin, ắc quy chì thải 19 06 01
6 - Chất kết dính và chất bịt kín có dung môi hữu cơ hoặc các TPNH khác 08 03 01
7 - Dầu nhớt thải 17 02 04
8 - Rác thải y tế 18 01 02</t>
  </si>
  <si>
    <t>3,5,7</t>
  </si>
  <si>
    <t>Hooklift 8h - 11h</t>
  </si>
  <si>
    <t>Tổ 4, KP. Mỹ Hiệp, Phường Thái Hòa, TPHCM</t>
  </si>
  <si>
    <t>Nylon, carton, dây dai, mút xốp, rìa da, giấy, rác dày, giấy vụn, củi vụn, vải vụn, nhựa thải, bao bì phủ nhựa (Không dính TPNH)</t>
  </si>
  <si>
    <t>1 - Bao bì mền thải 18 01 01
2 - Chất hấp thụ, vật liệu lọc (bao gồm cả vật liệu lọc dầu chưa nêu tại các mã khác), giẻ lau, vải bảo vệ thải bị nhiễm các thành phần nguy hại 18 02 01 (rắn)
3 - Các loại dầu động cơ, hộp số và bôi trơn thải khác 17 02 04
4 - Bóng đèn huỳnh quang và các loại thủy tinh hoạt tính thải 16 01 06
5 - Pin, ắc quy chì thải 19 06 01
6 - Bao bì cứng thải bằng kim loại bao gồm cả bình chứa áp suất rỗng hoàn toàn 18 01 02
7 - Hộp mực in thải có chứa các TPNH 08 02 04
8 - Bao bì cứng thải bằng nhựa 18 01 03</t>
  </si>
  <si>
    <t>23/03/2026</t>
  </si>
  <si>
    <t>Công ty TNHH VIETNAM SHENGFENG PRINTING &amp; PACKAGING
74,003,249,T</t>
  </si>
  <si>
    <t>1. Bóng đèn huỳnh quang thải 16 01 06
2. Bao bì cứng thải bằng nhựa 18 01 03
3. Chất hấp thụ, vật liệu lọc (bao gồm cả vật liệu lọc dầu chưa nêu tại các mã khác), giẻ lau, vải bảo vệ thải bị nhiễm các thành phần nguy hại 18 02 01
4. Pin, ắc quy thải:19 06 01
5. Các loại dung môi và hỗn hợp dung môi thải khác 17 08 03
6. Các loại dầu động cơ, hộp số và bôi trơn 17 02 04
7. Các loại chất thải khác có thành phần nguy hại vô cơ và hữu cơ 19 12 03
8. Bao bì cứng thải bằng kim loại bao gồm cả bình chứa áp suất bảo đảm rỗng hoàn toàn 18 01 02
9. Mực in thải có các thành phần nguy hại 08 02 01
10. Nước thải từ quá tình rửa khuôn 19 10 01 (lỏng)</t>
  </si>
  <si>
    <t>31/01/2028</t>
  </si>
  <si>
    <t>Công ty TNHH VIETNAM SHENGFENG PRINTING &amp; PACKAGING</t>
  </si>
  <si>
    <t>Nilon, dây đai, mút xốp, giấy vụn</t>
  </si>
  <si>
    <t>BTU đi cẩu nhỏ</t>
  </si>
  <si>
    <t>Thửa đất số 765, Tờ bản đồ số 8, Tổ 5, Khu phố Khánh Hòa, Phường Tân Khánh, Tp HCM</t>
  </si>
  <si>
    <t>1 - Giẻ lau, bao tay nhiễm các TPNH 18 02 01 ( rắn)
2 - Bóng đèn huỳnh quang thải 16 01 06( rắn)
3 - Dầu nhớt thải, dầu động cơ, hộp số và bôi trơn tổng hợp thải 17 02 03 ( Lỏng )
4 - Hộp mực in thải có chứa TPNH 08 02 04( rắn )
5 - Các loại dung môi và hỗn hợp dung môi thải 17 08 03 ( Lỏng )
6 - Pin, ắc quy chì thải 19 06 01( rắn )
7 - Bao bì cứng thải bằng nhựa 18 01 03( rắn )
8 - Bao bì cứng thải bằng kim loại bao gồm cả bình chứa áp suất bảo đảm rỗng hoàn toàn 18 01 02 ( rắn )
9 - Bùn thải lẫn sơn hoặc vecni có dung môi hữu cơ hoặc các TPNH 08 01 02 ( Rắn / Bùn )</t>
  </si>
  <si>
    <t>Công ty TNHH Trimmers TU
74,003,025,T</t>
  </si>
  <si>
    <t>Vật liệu cách nhiệt có amiang thải 11 06 01</t>
  </si>
  <si>
    <t>CÔNG TY TNHH KHOA HỌC VÀ CÔNG NGHỆ TƯỜNG LỰC</t>
  </si>
  <si>
    <t>Lô 1C1, Đường CN8, KCN Tân Bình, Phường Chánh Phú Hòa, Tp HCM</t>
  </si>
  <si>
    <t>1 - Than hoạt tính đã sử dụng 12 01 04
2 - Bóng đèn huỳnh quang thải 16 01 06
3 - Pin, ắc quy thải 16 01 12
4 - Dầu động cơ, hộp số và bôi trơn tổng hợp thải 17 02 03
5 - Bao bì mềm thải 18 01 01
6 - Bao bì cứng thải bằng kim loại 18 01 02
7 - Bao bì cứng thải bằng nhựa 18 01 03
8 - Giẻ lau, bao tay dính dầu mỡ, hóa chất nguy hại 18 02 01
9 - Sản phẩm lỗi 19 03 02</t>
  </si>
  <si>
    <t>26/03/2026</t>
  </si>
  <si>
    <t>11/03/2028</t>
  </si>
  <si>
    <t>Mang 10 bành</t>
  </si>
  <si>
    <t>Số 6 Vsip II-A, đường số 18, khu công nghiệp Việt Nam - Singapore II-A, Phường Vĩnh Tân, TP Hồ Chí Minh</t>
  </si>
  <si>
    <t>4 Ngưng HĐ 28/03/2026</t>
  </si>
  <si>
    <t>CÔNG TY TNHH NHỰA HỢP VIỆT NAM</t>
  </si>
  <si>
    <t>TĐ 605, TBĐ 08, Khu phố Bình Hòa 1, Phường Tân Khánh, Tp HCM</t>
  </si>
  <si>
    <t>01/04/2026</t>
  </si>
  <si>
    <t>1- Gỗ pallet
2- Thùng carton, giấy đệm, mút xốp, nhựa vụn, dây dai, bao bì, băng keo, hộp xốp, dây nhợ</t>
  </si>
  <si>
    <t>Số 207, đường ĐT 747 A, tổ 1, Kp Tân Lương, phường Tân Khánh, Tp HCM</t>
  </si>
  <si>
    <t>Công ty TNHH SX TM Đại Đại Phát</t>
  </si>
  <si>
    <t>Số 368, Đường Khánh Bình 24, Tổ 3, Khu phố Long Bình, Phường Tân Hiệp, Tp HCM</t>
  </si>
  <si>
    <t>1 - Cặn sơn, sơn và véc ni thải có dung môi hữu cơ hoặc các thành phần nguy hại khác 08 01 01
2 - Hộp mực in thải có các TPNH 08 02 04
3 - Bóng đèn huỳnh quang và các loại thủy tinh hoạt tính thải 16 01 06
4 - Các loại dầu động cơ, hộp số và bôi trơn thải khác 17 02 04
5 - Các loại dung môi và hỗn hợp dung môi thải khác 17 08 03
6 - Bao bì mền thải 18 01 01
7 - Bao bì cứng thải bằng kim loại bao gồm cả bình chứa áp suất bảo đảm rỗng hoàn toàn 18 01 02
8 - Bao bì cứng thải bằng nhựa 18 01 03
9 - Chất hấp thụ, vật liệu lọc (bao gồm cả vật liệu lọc dầu chưa nêu tại các mã khác), giẻ lau, vải bảo vệ thải nhiễm các TPNH 18 02 01
10 - Pin, ắc quy chì thải 19 06 01
11 - Keo thải 08 03 01
12 - Gỗ vụn dính thành phần nguy hại 09 01 01</t>
  </si>
  <si>
    <t>Số 15, đường Khánh Bình 68, Tổ 1,  Khu phố Bình Khánh, Phường Tân Hiệp, Tp HCM</t>
  </si>
  <si>
    <t>1 - Bao bì chứa hóa chất, dầu nhớt thải 18 01 01
2 - Hộp mực in thải 08 02 04
3 - Dầu động cơ, bôi trơn thải 17 02 03
4 - Bùn thải mực in 08 02 02
5 - Dung môi thải 18 01 05
6 - Keo thải 08 03 01
7 - Dầu nhớt thải 17 02 04
8 - Mực in thải 08 02 04
9 - Giẻ lau, bao tay dính dầu nhớt thải, dính sơn thải 18 02 01
10 - Bóng đèn huỳnh quang thải 16 01 06
11 - Pin, ắc quy chì thải 19 06 01</t>
  </si>
  <si>
    <t>Lô O, Đường D4, KCN Nam Tân Uyên, Phường Tân Hiệp, Tp HCM</t>
  </si>
  <si>
    <t>Công ty TNHH Victory Inductrial
74,003,723,T</t>
  </si>
  <si>
    <t>Lô B5, đường D2-N5, KCN Nam tân Uyên, Phường Tân Hiệp, Tp HCM</t>
  </si>
  <si>
    <t xml:space="preserve">1 - Bùn thải và các bả lọc có thành phần nguy hại 07 01 05 ( Bùn/Rắn)
2 - Dung dịch tây rửa thải có các TPNH 07 01 06 ( lỏng)
3 - Dầu tổng hợp từ quá trình gia công tạo hình 07 03 05 ( lỏng)
4 - Bùn thải có các thành phần nguy hại từ quá trình gia công tạo hình 07 03 07 ( Bùn )
5 - Vật thải dùng mải đã qua sử dụng có các TPNH (đá mai, giấy ráp,...) 07 03 10 ( Rắn)
6 - Phoi từ quá trình gia công tạo hình hoặc vật liệu bị mài ra lẫn dầu, nhũ tương hay dung dịch thải có dầu hoặc các TPNH khác 07 03 11( Rắn/bùn)
7 - Que hàn thải có các kim loại nặng hoặc TPNH 07 04 01( Rắn)
8 - Cặn sơn, sơn và vecni thải có chứa dung môi hữu cơ hoặc các TPNH 08 01 01( Rắn/lỏng)
9 - Hộp mực in thải có các thành phần nguy hại 08 02 04( Rắn)
10 - Mùn cưa, phoi bào, dầu gỗ thừa, ván và gỗ dán vụn thải có các TPNH 09 01 01( Rắn)
11 - Bộ lọc dầu đã qua sử dụng 15 01 02( Rắn)
12 - Bóng đèn huỳnh quang và các loại thủy tinh hoạt tính 16 01 06( Rắn)
13 - Dầu thủy lưc tổng hợp thải 17 01 06 (lỏng)
14 - Các loại dầu động cơ, hộp số và bôi trơn thải khác 17 02 04(lỏng)
15 - Các loại dầu truyền nhiệt và cách điệt thải khác 17 03 05
16 - Bao bì mền thải 18 01 01 ( Rắn )
17 - Chất hấp thụ vật liệu lọc (bao gồm các cật liệu lọc dầu chưa nêu tại các mã khác), giẻ lau vải bảo vệ thải nhiễm các TPNH 18 02 01( Rắn )
18 - Bao bì cứng thải bằng kim loại bao gồm cả bình chứa áp suất rỗng hoàn toàn 18 01 02( Rắn )
19 - Bao bì cứng thải bằng nhựa 18 01 03( Rắn )
20 - Pin, ắc quy chì thải 19 06 01( Rắn )
21 - Các loại chất thải khác có thành phần hữu cơ 19 12 02( Rắn )
</t>
  </si>
  <si>
    <r>
      <t xml:space="preserve">số 29/01/9B, KP Đồng An 2, Phường Bình Hòa, TX Thuận An, BD
</t>
    </r>
    <r>
      <rPr>
        <b/>
        <sz val="14"/>
        <rFont val="Times New Roman"/>
        <family val="1"/>
      </rPr>
      <t>địa chỉ thu gom: Số 11, đường ĐH 410, ấp Bình Cơ, Phường Bình Cơ, Tp HCM</t>
    </r>
  </si>
  <si>
    <t>1 - Bóng đèn huỳnh quang và các loại thủy tinh hoạt tính thải 16 01 06
2 - Chất hấp thụ, vật liệu lọc ( bao gồm cả vật liệu lọc chưa nêu tại các mã khác), giẻ lau, vải bảo vệ thải bị nhiễm các TPNH 18 02 01
3 - Pin, ắc quy chì thải 19 06 01
4 - Bao bì cứng thải bằng nhựa 18 01 03
5 - Hộp mực in thải có các thành phần nguy hại 08 02 04
6 - Mực in thải 08 02 01</t>
  </si>
  <si>
    <t>02/04/2026</t>
  </si>
  <si>
    <t>CÔNG TY TNHH CÔNG NGHỆ FULL YOUNG</t>
  </si>
  <si>
    <t xml:space="preserve">1 - Bóng đèn huỳnh quang và các loại thủy tinh hoạt tính 16 01 06
2 - Bao bì cứng bằng kim loại bao gồm cả bình chứa áp suất rống hoàn toàn 18 01 02
3 - Bao bì cứng bằng nhựa 18 01 02
4 - Pin, ắc quy chì thải 19 06 01
5 - Giẻ lau, bao tay dính TPNH 18 02 01
6 - Bóng đèn huỳnh quang thải 16 01 06
</t>
  </si>
  <si>
    <t>1 - Vật thể dùng để mài đã qua sử dụng có các thành phần nguy hại (đá mài đã qua sử dụng) 07 03 10
2 - Hộp chứa mực in (loại có các TPNH trong nguyên liệu sản xuất mực) thải 08 02 04
3 - Than hoạt tính (trong buồng hấp thụ) đã qua sử dụng từ quá trình xử lý khí thải 12 01 04 (rắn)
4 - Hỗn hợp dầu mỡ thải và chất béo độc hại từ quá trình phân tách dầu/nước (dầu mở sau khi nạo vét) 12 06 04 (lỏng)
5 - Chất thải lây nhiễm (bao gồm cả chất thải săc nhọn - chất thải y tế) 13 01 01
6 - Bóng đèn huỳnh quang và các loại thuỷ tinh hoạt tính thải 16 01 06
7 - Các loại dầu động cơ, hộp số và bôi trơn thải khác (dầu nhớt thải) 17 02 04
8 - Các loại dung môi và hỗn hợp dung môi thải khác (nước thải có các TPNH) 17 08 03 (Bồn)
9 - Bao bì kim loại cứng (đã chứa chất khi thải ra là CTNH, hoặc chứa áp suất rỗng hoặc có lớp lót rắn nguy hại như amiang) thải (chai, lon, thùng kim loại đựng hoá chất, bao bì cứng bằng kim loại) 18 01 02 (rắn)
10 - Bao bì nhựa cứng (đã chứa chất khi thải ra là CTNH) thải (bao bì cứng bằng nhựa đựng dầu nhớt, hoá chất) 18 01 03
11 - Chất hấp thụ, vật liệu lọc (bao gồm cả vật liệu lọc dầu chưa nêu tại các mã khác), giẻ lau, vải bảo vệ thải bị nhiễm các thành phần nguy hại 18 02 01 (rắn)
12 - Thiết bị thải có các bộ phận, linh kiện điện tử (trừ bản mạch điện tử không chứa các chi tiết có các thành phần nguy hại) 19 02 05
13 - Ắc quy chì thải 19 06 01</t>
  </si>
  <si>
    <t>1 - Vật thể dùng để mài đã qua sử dụng có các thành phần nguy hại (đá mài đã qua sử dụng) 07 03 10
2 - Hộp chứa mực in (loại có các TPNH trong nguyên liệu sản xuất mực) thải 08 02 04
3 - Than hoạt tính (trong buồng hấp thụ) đã qua sử dụng từ quá trình xử lý khí thải 12 01 04 (rắn)
4 - Chất thải lây nhiễm (bao gồm cả chất thải sắc nhọn - chất thải y tế) 13 01 01
5 - Bóng đèn huỳnh quang và các loại thủy tinh hoạt tính thải 16 01 06
6 - Các loại dầu động cơ, hộp số và bôi trơn thải khác (dầu nhớt thải) 17 02 04
7 - Các loại dung môi và hỗn hợp dung môi thải khác (nước thải có các TPNH) 17 08 03 (Bồn)
8 - Bao bì kim loại cứng (đã chứa chất khi thải ra là CTNH, hoặc chứa áp suất rỗng hoặc có lớp lót rắn nguy hại như amiang) thải (chai, lon, thùng kim loại đựng hoá chất, bao bì cứng bằng kim loại) 18 01 02 (rắn)
9 - Bao bì nhựa cứng (đã chứa chất khi thải ra là CTNH) thải (bao bì cứng bằng nhựa đựng dầu nhớt, hoá chất) 18 01 03
10 - Chất hấp thụ, vật liệu lọc (bao gồm cả vật liệu lọc dầu chưa nêu tại các mã khác), giẻ lau, vải bảo vệ thải bị nhiễm các thành phần nguy hại 18 02 01 (rắn)
11 - Ắc quy chì thải 19 06 01</t>
  </si>
  <si>
    <t>Lô số 15, Cụm khu công nghiệp Công ty Cổ Phần Thành Phố Đẹp, Khu phố Ông Đông, Phường Tân Hiệp, Tp HCM</t>
  </si>
  <si>
    <t>Địa chỉ thu gom: Lô số A24, A28, A29, đường số 5, Cụm Công Nghiệp Uyên Hưng, Phường Tân Uyên, Tp HCM</t>
  </si>
  <si>
    <t>1 - Bao bì giấy, carton, dây đai, mút xốp, gỗ vụn, Giấy nhám, giấy vụn, nhãn nhựa, thạch cao, xà bần, mica hỏng, chỉ vụn, vải vụn, bụi ...</t>
  </si>
  <si>
    <t>03/04/2026</t>
  </si>
  <si>
    <t>CÔNG TY TNHH CƠ KHÍ XÂY DỰNG THIÊN PHÁT LỘC</t>
  </si>
  <si>
    <t>Lô D, Đường N6B và D3, Cụm CN Phú Chánh, Phường Bình Dương, Tp HCM</t>
  </si>
  <si>
    <t>1 - Carton, nilon, dây đai, mút xốp, giấy vụn, gỗ vụn
2 - Xà bần xây dựng</t>
  </si>
  <si>
    <t>CÔNG TY CỔ PHẦN TẬP ĐOÀN INTIMEX</t>
  </si>
  <si>
    <t>Số, Đường số 30, KCN VN- Singapore IIA, Phường Vĩnh Tân, Tp HCM</t>
  </si>
  <si>
    <t>1 - Hộp mực in thải có các thành phần nguy hại 08 02 04
2 - Nhựa trao đổi ion đã bão hòa hay đã qua sử dụng 12 06 01
3 - Bóng đèn huỳnh quang và các loại thủy tinh hoạt tính thải 16 01 06 (rắn)
4 - Các loại dầu động cơ, hộp số và bôi trơn thải khác 17 02 04
5 - Bao bì mền thải 18 01 01
6 - Bao bì cứng thải bằng nhựa 18 01 03
7 - Chất hấp thụ, vật liệu lọc (bao gồm cả vật liệu lọc dầu chưa nêu tại các mã khác), giẻ lau, vải bảo vệ thải bị nhiễm các thành phần nguy hại 18 02 01 (rắn)
8 - Hóa chất và hỗn hộp hóa chất phòng thí nghiệm thải có các TPNH 19 05 02
9 - Pin, ắc quy chì thải 19 06 01</t>
  </si>
  <si>
    <t>CÔNG TY TNHH SẢN XUẤT U-A</t>
  </si>
  <si>
    <t>Thửa đất số 357, tờ bản đồ số 14, Khu phố Khánh Long, Phường Tân Khánh, Tp HCM</t>
  </si>
  <si>
    <t>Rác công nghiệp: bao bì giấy, nylon, dây đai, mút xốp, gỗ vụn, đá vụn</t>
  </si>
  <si>
    <t>CÔNG TY TNHH NỘI THẤT MINH NHỰT</t>
  </si>
  <si>
    <t>TĐS 1886, TBĐS 45, Khu phố Khánh Lộc, Phường Tân Hiệp, Tp HCM</t>
  </si>
  <si>
    <t>1 - Chất hấp thụ, vật liệu lọc (bao gồm cả vật liệu lọc dầu chưa nêu tại các mã khác), giẻ lau, vải bảo vệ thải bị nhiễm các thành phần nguy hại 18 02 01 (rắn)
2 - Bao bì mềm 18 01 01
3 - Bóng đèn huỳnh quang 16 01 06
4 - Pin, ắc quy chì thải 19 06 01
5 - Cặn sơn, sơn, vecni thải có các thành phần dung môi hữu cơ hoặc các thành phần nguy hại khác 08 01 01</t>
  </si>
  <si>
    <t>CÔNG TY TNHH ĐỒ GỖ NGUYỄN NGỌC</t>
  </si>
  <si>
    <t>Thửa đất số 713, tờ bản đồ số 45, Tổ 5, Khu phố Khánh Tân, Phường Tân Hiệp, Tp HCM</t>
  </si>
  <si>
    <t>CÔNG TY TNHH LI KOO
74.001.411.T</t>
  </si>
  <si>
    <t>Khu phố Bình Chánh, Phường Tân Hiệp, Tp HCM</t>
  </si>
  <si>
    <t>1 - Sơn màu thải 08 01 01
2 - Hộp mực in thải 08 02 04
3 - Bóng đèn huỳnh quang thải 16 01 06
4 - Dầu nhớt thải 17 02 04
5 - Dung môi thải 17 08 03
6 - Bao bì mềm dính sơn thải 18 01 01
7 - Thùng phuy sắt đựng dung môi, sơn thải 18 01 02
8 - Giẻ lau dính sơn 18 02 01
9 -  Pin, ắc quy chì thải 19 06 01
10 - Bùn thải từ HTXL nước thải 12 06 05
11 - Than hoạt tính 12 01 04</t>
  </si>
  <si>
    <t>30/01/2027</t>
  </si>
  <si>
    <t>TĐS 84, TBĐ số 31, Tổ 2, Khu Phố Bình Hòa 1, Phường Tân Khánh, Tp HCM</t>
  </si>
  <si>
    <t>CÔNG TY TNHH THẮNG LỢI
74.001.521.T</t>
  </si>
  <si>
    <t>Địa chỉ thu gom: Chi Nhánh công ty TNHH Thắng Lợi (số 11, ĐX 04-TH, tổ 7, Khu phố Tân Hóa, P Tân Khánh, Tp HCM</t>
  </si>
  <si>
    <t>1 - Silicon thải 02 08 01(lỏng)
2 - Cặn sơn thải 08 01 02(rắn)
3 - Hộp mực in thải 08 02 04(rắn)
4 - Bóng đèn huỳnh quang thải 16 01 06(rắn)
5 - Dầu nhớt thải 17 02 04(lỏng)
6 - Dung môi thải 17 08 03(lỏng)
7 - Giẻ lau, bao tay dính dầu nhớt, sơn 18 02 01(rắn)
8 - Bao bì cứng thải bằng kim loại (thùng chứa silicon, poly) 18 01 02(rắn)
9 - Bao bì cứng thải bằng nhựa (thùng chứa sơn) 18 01 03(rắn)
10 - Pin, ắc quy thải 19 06 01(rắn)</t>
  </si>
  <si>
    <t>CÔNG TY TNHH MTV LÂM DƯƠNG</t>
  </si>
  <si>
    <t>CÔNG TY TNHH THẮNG LỢI</t>
  </si>
  <si>
    <t>1 - Sản phẩm poly hỏng
2 - Sản phẩm silicone hỏng
3 - Khuôn poly hỏng và khuôn silicone hỏng
4 - Phế Liệu Sản phẩm poly, silocone
5 - Sản phẩm hư hỏng, xà bần từ quá trình sản xuất chậu xi măng, nilon, dây đai, mít xốp, giấy vụn, nhựa thải, gỗ vụn</t>
  </si>
  <si>
    <t>04/04/2026</t>
  </si>
  <si>
    <t>4 Ngưng HĐ 20/03/2026</t>
  </si>
  <si>
    <t>3 Ngưng HĐ 30/03/2026</t>
  </si>
  <si>
    <t>4 Ngưng HĐ 30/03/2026</t>
  </si>
  <si>
    <t>7 Ngưng HĐ 30/03/2026</t>
  </si>
  <si>
    <t>5 Ngưng HĐ 30/03/2026</t>
  </si>
  <si>
    <t>Ngưng HĐ 30/03/2026</t>
  </si>
  <si>
    <t>4 Ngưng HĐ 02/04/2026</t>
  </si>
  <si>
    <t>Ngưng HĐ 04/04/2026</t>
  </si>
  <si>
    <t>TĐS 161, TBĐS 30, Đường Bình Mỹ 64, Khu phố Đồng Sặc, Phường Bình Cơ, Tp HCM</t>
  </si>
  <si>
    <t>30/03/2027</t>
  </si>
  <si>
    <t>CÔNG TY TNHH BAO BÌ JIU SHUN
74,003,670,T</t>
  </si>
  <si>
    <t>305, Đường ĐT 746, Khu phố Tân Lập 4, Phường Tân Uyên, Tp HCM</t>
  </si>
  <si>
    <t>1 - Mực in thải có các thành phần nguy hại 08 02 01 ( Rắn/Lỏng)
2 - Dung dịch bản khắc axit (hoặc kiểm) thải 08 02 03 (lỏng)
3 - Hộp mực in thải có chứa TPNH 08 02 04 ( rắn)
4 - Chất kết dình và chất bịt kín thải có dung môi hữu cơ hoặc các TPNH khác 08 03 01 (lỏng)
5 - Bùn thải có các thải phần nguy hại từ HTXL nước thải công nghiệp khác 12 06 05 ( Bùn)
6 - Bóng đèn huỳnh quang và các loại thủy tinh hoạt tính thải 16 01 06( rắn)
7 - Các loại dầu động cơ, hộp số và bôi trơn thải khác 17 02 04( Lỏng)
8 - Các loại dung môi và hỗn hợp dung môi thải khác 17 08 03 ( Lỏng)
9 - Bao bì cứng thải bằng kim loại bao gồm cả bình chứa áp suất bảo đảm rỗng hoàn toàn 18 01 02( rắn)
10 - Bao bì cứng thải bằng nhựa 18 01 03( rắn)
11 - Chất hấp thụ, vật liệu lọc (bao gồm cả vật liệu lọc dầu chưa nêu tại các mã khác), giẻ lau, vải bảo vệ thải bị nhiễm các TPNH 18 02 01( rắn)
12 - Pin, ắc quy chì thải 19 06 01( rắn)
13 - Các loại chất thải khác có chứa thành phần nguy hại 19 12 02( rắn)
14 - Than hoạt tính đã qua sử dụng 12 01 04</t>
  </si>
  <si>
    <t>20/03/2028</t>
  </si>
  <si>
    <t>20/12/2027 15/04/2026 không lấy</t>
  </si>
  <si>
    <t>CÔNG TY TRÁCH NHIỆM HỮU HẠN MỘT THÀNH VIÊN XIN - HUA</t>
  </si>
  <si>
    <t>Số 77, Tổ 5, Khu phố Tân Hóa, Phường Tân Khánh, Tp HCM</t>
  </si>
  <si>
    <t>Nylon, giấy vụn, dây đai, mút PU, mút PE, mút EVA, băng keo thải</t>
  </si>
  <si>
    <t>08/04/2026</t>
  </si>
  <si>
    <t>20/04/2028</t>
  </si>
  <si>
    <t>CÔNG TY TNHH ACE MACHINERY VINA</t>
  </si>
  <si>
    <r>
      <t xml:space="preserve">số 35, đường dân chủ, KCN Vsip 2, Bến cát, BD
</t>
    </r>
    <r>
      <rPr>
        <b/>
        <sz val="14"/>
        <rFont val="Times New Roman"/>
        <family val="1"/>
      </rPr>
      <t>Địa chỉ thu gom mới: số 25B, Đường số 31, KCN Vsip II-A, Phường Vĩnh Tân, Tp HCM</t>
    </r>
  </si>
  <si>
    <t>CÔNG TY TNHH GIÀY OVERSPEEDY VIỆT NAM</t>
  </si>
  <si>
    <t>CÔNG TY TNHH SẢN XUẤT VÀ TIẾP VẬN HỒNG ĐỨC
74.004.212.T</t>
  </si>
  <si>
    <t>Thửa đất số 117, Tờ bản đồ số 32, Ấp 2, Xã Thường Tân, Tp HCM</t>
  </si>
  <si>
    <t>01 lần/6 tháng 2,8</t>
  </si>
  <si>
    <t>Bã bột giấy</t>
  </si>
  <si>
    <t>Phụ lục 08/04/2026</t>
  </si>
  <si>
    <t>Địa chỉ thu gom: Chi Nhánh công ty TNHH Thắng Lợi (số 11, ĐX 04-TH, tổ 7, Khu phố Tân Hóa, Phường Tân Khánh, Tp HCM</t>
  </si>
  <si>
    <t>xe thùng nhỏ hoặc bồn nhỏ</t>
  </si>
  <si>
    <t>HỘ KINH DOANH VY THỊ LỆ</t>
  </si>
  <si>
    <t>TĐS 279, 280, 307, TBĐS 49, Phường Bình Cơ, Tp HCM</t>
  </si>
  <si>
    <t>Chất thải hầm cầu, bùn thải bể tự hoại, nước sinh hoạt</t>
  </si>
  <si>
    <t>11/04/2026</t>
  </si>
  <si>
    <t>19/03/2027</t>
  </si>
  <si>
    <t>Thùng nhỏ, cẩu nhỏ</t>
  </si>
  <si>
    <t>CÔNG TY TNHH MAEVE FURN</t>
  </si>
  <si>
    <r>
      <t xml:space="preserve">Chi nhánh Công ty TNHH Maeve Furn
</t>
    </r>
    <r>
      <rPr>
        <b/>
        <sz val="14"/>
        <rFont val="Times New Roman"/>
        <family val="1"/>
      </rPr>
      <t>Địa chỉ thu gom: Đường N6B, cụm CN Phú Chánh 1, Khu phố Phú Bưng, Phường Bình Dương, Tp HCM</t>
    </r>
  </si>
  <si>
    <t>CÔNG TY TNHH ĐỒ GỖ THƯỢNG MỸ
74.001.086.T</t>
  </si>
  <si>
    <t>Thửa đất số 449, Tờ bản đồ số 14, Khu phố Tân Hóa, Phường Tân Khánh, Tp HCM</t>
  </si>
  <si>
    <t>1 - Bao bì mền dính thành phần nguy hại 18 01 01(rắn)
2 - Giẻ lau, bao tay dính chất thải nguy hại 18 02 01(rắn)
3 - Cặn sơn thải 08 01 02(rắn)
4 - Dầu nhớt thải 17 02 04(lỏng)
5 - Dung môi thải 17 08 03(lỏng)
6 - Bóng đèn huỳnh quang thải 16 01 06(rắn)
7 - Hộp mực in thải 08 02 04(rắn)
8 - Pin, ắc quy chì thải 19 06 01(rắn)
9 - Bùn thải từ hệ thống xử lý nước thải sản xuất 12 06 05(bùn)
10 - Bao bì cứng thải bằng kim loại dính dầu nhớt, sơn, dung môi 18 01 02(rắn)
11 - Bao bì cứng thải bằng nhựa dính thành phần nguy hại 18 01 03(rắn)</t>
  </si>
  <si>
    <t>CÔNG TY TNHH WOLSUNG VINA
74.000.209.T</t>
  </si>
  <si>
    <t>Lô 10-1, Cụm công nghiệp Thành Phố Đẹp, Khu phố Ông Đông, Phường Tân Hiệp, Tp HCM</t>
  </si>
  <si>
    <t>1 xe nhỏ riêng</t>
  </si>
  <si>
    <t>3 Ngưng HĐ 09/04/2026</t>
  </si>
  <si>
    <t>4 Ngưng HĐ 10/04/2026</t>
  </si>
  <si>
    <t>5 Ngưng HĐ 10/04/2026</t>
  </si>
  <si>
    <t>15/04/2026</t>
  </si>
  <si>
    <t>CÔNG TY TNHH SẢN XUẤT &amp; THƯƠNG MẠI BAO BÌ LIÊN HIỆP
74.000.850.T</t>
  </si>
  <si>
    <t>Thửa đất số 170, tờ bản đồ số 33, Khu Phố Khánh Lộc, Phường Tân Hiệp, Tp HCM</t>
  </si>
  <si>
    <t xml:space="preserve">1 - Bóng đèn huỳnh quang thải 16 01 06(rắn)
2 - Giẻ lau dính dầu mỡ, hóa chất, mực in 18 02 01(rắn)
3 - Pin, ắc quy chì thải 19 06 01(rắn)
4 - Thùng đựng dầu nhớt, mực in, dung môi thải 18 01 01(rắn)
5 - Cặn mực in thải 08 02 01(rắn)
6 - Chất thải y tế 13 01 01(rắn)
7 - Dung môi thải 17 08 03(lỏng)
8 - Dầu nhớt, chất bôi trơn thải 17 02 04(lỏng)
9 - Hộp mực in thải 08 02 04(rắn)
</t>
  </si>
  <si>
    <t>CÔNG TY TNHH SẢN XUẤT &amp; THƯƠNG MẠI BAO BÌ LIÊN HIỆP</t>
  </si>
  <si>
    <t>CÔNG TY TNHH LỤC SÂM
74,002,605,T</t>
  </si>
  <si>
    <t>Khu phố Bình Khánh, Phường Tân Hiệp, TP HCM</t>
  </si>
  <si>
    <t>1 - Giẻ lau dính keo, sơn, dung môi, dầu nhớt, dính TPNH 18 02 01 ( Rắn )
2 - Hộp mực in, photo thải 08 02 04( Rắn )
3 - Pin, ắc quy chì thải 19 06 01( Rắn )
4 - Bóng đèn huỳnh quang thải 16 01 06( Rắn )
5 - Keo thải 08 03 01( Rắn )
6 - Bùn thải lẫn sơn, cặn sơn thải 08 01 02 ( Bùn )
7 - Dung môi thải 17 08 03 ( lỏng)
8 - Dầu nhớt thải 17 02 04( lỏng)
9 - Bao bì đựng dung môi, sơn dầu chuối, keo dính TPNH bằng kim loại thải 18 01 02( Rắn )
10 - Bao bì đựng dầu nhớt, keo, sơn bằng nhựa thải 18 01 03( Rắn )
11 - Màng xốp hấp thụ thải 18 02 01( Rắn )
12 - Bùn thải từ hệ thống xử lý nước thải 12 06 05 ( Bùn )</t>
  </si>
  <si>
    <t>CÔNG TY CỔ PHẦN ANH THY</t>
  </si>
  <si>
    <t>Lô I-1, Đường N1, KCN Nam Tân Uyên, Phường Tân Hiệp, Tp HCM</t>
  </si>
  <si>
    <t>1 - Bóng đèn huỳnh quang và các loại thủy tinh hoạt tính thải 16 01 06 (rắn)
2 - Các loại dầu động cơ, hộp số và bôi trơn thải khác 17 02 04(lỏng)
3 - Bao bì mền thải 18 01 01(rắn)
4 - Bao bì cứng thải bằng kim loại bao gồm cả bình chứa áp suất bảo đảm rỗng hoàn toàn 18 01 02 (rắn)
5 - Bao bì cứng thải bằng nhựa 18 01 03(rắn)
6 - Chất hấp thụ, vật liệu lọc (bao gồm cả vật liệu lọc dầu chưa nêu tại các mã khác) , giẻ lau , vải bảo vệ thải bị nhiễm các thành phần nguy hại 18 02 01 (rắn)
7 -  Hộp mực in thải có các TPNH 08 02 04 (rắn)
8 - Pin, ắc quy chì thải 19 06 01(rắn)
9 - Các bình chứa áp suất chưa đảm bảo rỗng hoàn tòan 19 02 05(rắn)
10 - Thiết bị thải có các bộ phân linh kiện điện tử thải 19 02 05(rắn)
11 - Cặn sơn, sơn, vecni thải có dung môi hữu cơ hoặc các thành phần nguy hại khác 08 01 01 (lỏng)
12 - Dung môi thải 17 08 03(lỏng)
13 - Que hàn thải có các kim loại nặng hoặc TPNH 07 04 01(rắn)
14 - Vật thể dùng để mài đã qua sử dụng có các thành phần nguy hại (ví dụ: đá mài, giấy ráp) 07 03 10 (rắn)
15 - Bùn thải có các thành phần nguy hại từ quá trình xử lý nước thải công nghiệp khác 07 03 07(bùn)
16 - Dung dịch nước tẩy rửa thải 07 01 06(lỏng)
17 - Dầu thủy lực tổng hợp thải thải 17 01 06(lỏng)
18 - Phoi từ quá trình gia công tạo hình hoặc vật liệu bị mài ra lẫn dầu, nhũ tương hay dung dịch có dầu hoặc các thành phần nguy hại khác 07 03 11 (rắn)
19 - Axit tẩy thải 07 01 01(lỏng)</t>
  </si>
  <si>
    <t>CÔNG TY TNHH KHUẾCH DOANH
74.002.200.T</t>
  </si>
  <si>
    <t>Tổ 4, Khu 8, Phường Tân Uyên, Tp HCM</t>
  </si>
  <si>
    <t>1 - Bóng đèn huỳnh quang thải 16 01 06(rắn)
2 - Dầu bôi trơn thải 17 02 04(lỏng)
3 - Giẻ lau dính dầu nhớt 18 02 01(rắn)
4 - Hộp mực máy thải 08 02 04(rắn)
5 - Thùng đựng dầu nhớt, dầu gia nhiệt bằng kim loại 18 01 02(rắn)
6 - Pin, ắc quy chì thải 19 06 01(rắn)
7 - Dầu tuần hoàn, dầu chống rỉ thải 17 07 03(lỏng)
8 - Dầu gia nhiệt thải 07 03 04(lỏng)
9 - Rác y tế 13 01 01(rắn)
10 - Kim loại dính dầu (bazớ) 11 04 01</t>
  </si>
  <si>
    <t>CÔNG TY TNHH DAIM VIỆT NAM</t>
  </si>
  <si>
    <t>Lô C8, Đường N3, KCN Nam Tân Uyên, Phường Tân Hiệp, Tp HCM</t>
  </si>
  <si>
    <t>1 - Bóng đèn huỳnh quang thải 16 01 06(rắn)
2 - Chất hấp thụ, vật liệu lọc (bao gồm cả vật liệu lọc dâuc hưa nêu tại các mã khác), giẻ lau, vải bảo vệ thải bị nhiễm các thành phần nguy hại 18 02 01(rắn)
3 - Dầu nhớt thải 17 02 04(lỏng)
4  -Các loại dầu động cơ, hộp số và bôi trơn thải khác 17 02 04
5 - Dầu thủy lực tổng hợp thải từ quá trình gia công tạo hình 17 01 06
6 - bao bì cugnws thải bằng kim loại bao gồm cả bình chứa áp suất bảo đảm rỗng hoàn toàn 18 01 02
7 - Pin ắc quy chì thải 19 06 01
8 - Than hoạt tính đã qua sử dụng từ quá trình xư lý khí thải 12 01 14</t>
  </si>
  <si>
    <t>13511, 10 bành</t>
  </si>
  <si>
    <t>1 - Chất thải hầm cầu, bùn thải bể tự hoại, nước thải sinh hoạt</t>
  </si>
  <si>
    <r>
      <t xml:space="preserve">ĐT 747, tổ 4, Kp BA Đình, Phường Tân Đông Hiệp, Tp HCM
</t>
    </r>
    <r>
      <rPr>
        <b/>
        <sz val="14"/>
        <rFont val="Times New Roman"/>
        <family val="1"/>
      </rPr>
      <t>Địa chỉ thu gom1: Xí nghiệp đá thường tân III (Ấp Thường Tân 3, Xã Thường Tân, Tp HCM)
Địa chỉ thu gom 2: Bến thuỷ nội địa Thường Tân III (Ấp Thường Tân 3, Xã Thường Tân, Tp HCM)
Địa chỉ thu gom 3: Mỏ Đá Thường Tân VI - Khu II (Ấp Thường Tân 3, Xã Thường Tân, Tp HCM)</t>
    </r>
  </si>
  <si>
    <t>4 Ngưng HĐ 14/04/2026</t>
  </si>
  <si>
    <t>Ngưng HĐ 14/04/2026</t>
  </si>
  <si>
    <t>5 Ngưng HĐ 14/04/2026</t>
  </si>
  <si>
    <t>5 Ngưng HĐ 14/04/2026
PYC 01/07/2025</t>
  </si>
  <si>
    <t>4 Ngưng HĐ 15/04/2026</t>
  </si>
  <si>
    <t>Ngưng HĐ 15/04/2026</t>
  </si>
  <si>
    <t>4 Ngưng HĐ 21/04/2026</t>
  </si>
  <si>
    <t>CÔNG TY TNHH HÓA AN TÂN UYÊN
74.001.354.T</t>
  </si>
  <si>
    <t>TĐS 741, TBĐS 24, Ấp 4, Xã Thường Tân, Tp HCM</t>
  </si>
  <si>
    <t>1 - Hộp mực in thải có các TPNH 08 02 04
2 - Bóng đèn huỳnh quang và các loại thủy tinh hoạt tính thải 16 01 06 (rắn)
3 - Các loại dầu động cơ, hộp số và bôi trơn thải khác 17 02 04 (lỏng)
4 - Bao bì mền thải 18 01 01
5 - Bao bì cứng thải bằng kim loại bao gồm cả bình áp suất bảo đảm rỗng hoàn toàn 18 01 02 (rắn)
6 - Chất hấp thụ, vật liệu lọc (bao gồm cả vật liệu lọc dầu chưa nêu tại các mã khác), giẻ lau, vải bảo vệ thải bị nhiễm các thành phần nguy hại 18 02 01 (rắn)
7 - Pin, ắc quy chì thải 19 06 01</t>
  </si>
  <si>
    <t>CÔNG TY TNHH HÓA AN TÂN UYÊN</t>
  </si>
  <si>
    <t>1 lần/tháng
Theo yêu cầu</t>
  </si>
  <si>
    <t>CÔNG TY TNHH CÔNG NGHIỆP NỘI THẤT THIẾT ĐAN</t>
  </si>
  <si>
    <t>Khu Phố Tân Bình, Phường Tân Hiệp, Tp HCM</t>
  </si>
  <si>
    <t>1 - Giẻ lau, vải nhiễm chất thải nguy hại 18 02 01
2 - Dầu nhớt thải 17 02 04
3 - Thùng chứa sơn dung môi bằng kim loại 18 01 02
4 - Thùng chứa dầu nhớt, keo, hóa chất ngâm tẩm gỗ bằng nhựa thải 18 01 03
5 - Bóng đèn huỳnh quang thải 16 01 06
6 - Sơn hỏng thải 08 01 01
7 - Pin, ắc quy chì thải 19 06 01
8 - Hộp mực in 08 02 04
9 - Keo hỏng thải 08 03 01
10 - Gổ vụn, tre, dăm bào dính thành phần nguy hại 09 01 01
11 - Rác y tế 13 01 01</t>
  </si>
  <si>
    <t xml:space="preserve">Theo yêu cầu
</t>
  </si>
  <si>
    <t>Nylon, carton, dây đai, mút xốp, gỗ vụn, giấy vụn</t>
  </si>
  <si>
    <t>1 - Sản phẩm hết hạn sử dụng dạn bột đựng trong hũ nhựa</t>
  </si>
  <si>
    <t>PLHĐ 21/04/2026</t>
  </si>
  <si>
    <t>CÔNG TY TNHH HOÀN CẦU FURNITURE</t>
  </si>
  <si>
    <t>TĐS 788, TBĐS 38, Đường ĐT 747B, Khu phố Khánh Vân, Phường Tân Hiệp, Tp HCM</t>
  </si>
  <si>
    <t>1 - Hộp mực in thải có các TPNH 08 02 04
2 - Bóng đèn huỳnh quang và các loại thủy tinh hoạt tính thải 16 01 06
3 - Các loại dầu động cơ, hộp số và bôi trơn thải khác 17 02 04
4 - Bao bì mềm thải 18 01 01
5 - Bao bì cứng thải bằng kim loại bao gồm cả bình chứa áp suất đảm bảo rỗng hoàn toàn 18 01 02
6 - Bao bì cứng thải bằng nhựa 18 01 03
7 - Chất hấp thụ, vật liệu lọc (bao gồm cả vật liệu lọc dầu chưa nêu tại các mã khác), giẻ lau, vải bảo vệ thải bị nhiễm các TPNH 18 02 01
8 - Cặn sơn thải 08 02 01</t>
  </si>
  <si>
    <t>Số 10, Đường Tân Mỹ 16, Ấp Xóm Đèn, Phường Tân Uyên, Tp HCM</t>
  </si>
  <si>
    <t>1 - Thùng đựng dầu nhớt, bao bì dính sơn, dung môi thải 18 01 01
2 - Dung môi thải 17 08 03
3 - Giẻ lau dính dầu nhớt, dung môi, sơn thải 18 02 01
4 - Hộp mực in thải 08 02 04
5 - Cặn sơn thải 08 01 02
6 - Pin, ắc quy chì thải 19 06 01
7 - Bóng đèn huỳnh quang thải 16 01 06
8 - Bao bì mềm thải 18 01 01
9 - Bao bì cứng thải bằng kim loại 18 01 02
10 - Bao bì cứng thải bằng nhựa 18 01 03</t>
  </si>
  <si>
    <t>22/04/2026</t>
  </si>
  <si>
    <t>CÔNG TY TNHH LUYỆN CÁN THÉP VIỆT SINH
74.001.312.T</t>
  </si>
  <si>
    <t>TĐS 603, TBĐS 13, Tổ 27, Ấp 6, Xã Thường Tân, Tp HCM</t>
  </si>
  <si>
    <t xml:space="preserve">1 - Giẻ lau bao tay dính dầu nhớt thải 18 02 01 (Rắn)
2 - Thùng chứa dầu nhớt thải 18 01 01 (Rắn)
3 - Dầu nhớt thải từ máy móc thiết bị 17 02 04 ( Lỏng)
4 - Bóng đèn huỳnh quang thải 16 01 06 ( rắn)
5 - Pin, ắc quy chì thải 19 06 01 (Rắn)
6 - Hộp mực in thải  08 02 04
</t>
  </si>
  <si>
    <t>01 lần/6 tháng 6, 12</t>
  </si>
  <si>
    <t>CÔNG TY TNHH KIM LOẠI VÀ GỖ NỘI THẤT LHV</t>
  </si>
  <si>
    <r>
      <t xml:space="preserve">01 lần/2 tháng
</t>
    </r>
    <r>
      <rPr>
        <b/>
        <sz val="14"/>
        <rFont val="Times New Roman"/>
        <family val="1"/>
      </rPr>
      <t>1,3,5,7,9,11</t>
    </r>
  </si>
  <si>
    <t>Lô X3-X4-X5-X6, Đường số N15, KCN Nam Tân Uyên, Phường Tân Hiệp, Tp HCM</t>
  </si>
  <si>
    <r>
      <t xml:space="preserve">Nhà máy xử lý nước thải Tân Uyên
</t>
    </r>
    <r>
      <rPr>
        <b/>
        <sz val="14"/>
        <rFont val="Times New Roman"/>
        <family val="1"/>
      </rPr>
      <t>Thửa đất số 1512, tờ bản đồ số 9, đường Thái Hòa 80, tổ 7, Khu phố An Thành. Phường Tân Khánh, Tp HCM</t>
    </r>
  </si>
  <si>
    <t>7 Ngưng HĐ 23/04/2026</t>
  </si>
  <si>
    <t>CHI NHÁNH ĐỒNG AN 2 CÔNG TY TNHH GSD PRECISION (VIỆT NAM)</t>
  </si>
  <si>
    <t>Số 26 VSIP II-A, Đường số 32, Khu công nghiệp Việt Nam – Singapore II-A, Phường Vĩnh Tân, TP Hồ Chí Minh</t>
  </si>
  <si>
    <t>1 - Bùn thải có các thành phần nguy hại từ quá trình xử lý nước thải công nghiệp 12 06 05</t>
  </si>
  <si>
    <t>PL 28/04/2026</t>
  </si>
  <si>
    <t>30/05/2027</t>
  </si>
  <si>
    <t>Cẩu lớn, nhỏ</t>
  </si>
  <si>
    <t>Thùng lớn, nhỏ</t>
  </si>
  <si>
    <t>1 cẩu
13h
Mang 4 bồn cắt
Liên hệ a Tuấn 0964731078 trước 30P</t>
  </si>
  <si>
    <t>thùng lớn
Liên hệ a Tuấn 0964731078 trước 30P</t>
  </si>
  <si>
    <t>Ngưng HĐ 04/05/2026</t>
  </si>
  <si>
    <t>3 Ngưng HĐ 06/05/2026</t>
  </si>
  <si>
    <t>Ngưng HĐ 06/05/2026</t>
  </si>
  <si>
    <t>CÔNG TY TNHH KNW VIỆT NAM</t>
  </si>
  <si>
    <t>Lô 9-2, CCN TP Đẹp, Khu phố Ông Đông, Phường Tân Hiệp, Tp HCM</t>
  </si>
  <si>
    <t>Nilon, carton, dây dai, mút xốp, gỗ vụn, giấy vụn, nhựa thải, vải vụn, băng keo</t>
  </si>
  <si>
    <t>06/05/2026</t>
  </si>
  <si>
    <t>CÔNG TY CỔ PHẦN GIA LỢI
74.001.886.T</t>
  </si>
  <si>
    <t>TĐS 285, TBĐS 8, Khu phố Phước Hải, Phường Tân Khánh, Tp HCM</t>
  </si>
  <si>
    <t>1 - Thùng sắt dính dầu nhớt thải  18 01 02
2 - Giẻ lau, bao tay dính dầu nhớt thải 18 02 01
3 - Bóng đèn huỳnh thải 16 01 06
4 - Dầu nhớt thải 17 02 04
5 - Pin, ắc quy chì thải 19 06 01
6 -  Hộp mực in thải 08 02 04</t>
  </si>
  <si>
    <t>28/02/2027</t>
  </si>
  <si>
    <t>CÔNG TY CỔ PHẦN GIA LỢI</t>
  </si>
  <si>
    <t>1 - Nilon, dây đai, mút xốp, giấy vụn, chỉ vụn</t>
  </si>
  <si>
    <t>CÔNG TY TNHH NGŨ KIM CHÍNH NGUYÊN VIỆT NAM</t>
  </si>
  <si>
    <t>Khu phố Ông Đông, Phường Tân Hiệp, Tp HCM</t>
  </si>
  <si>
    <t>1 - Giẻ lau, bao tay dính hóa chất, dầu nhớt 18 02 01
2 - Hộp mực in thải 08 02 04
3 - Bóng đèn huỳnh quang thải 16 01 06
4 - Pin, ắc quy chì thải 19 06 01
5 - Cặn sơn thải 08 01 01
6 - Dầu động cơ, hộp số và bôi trơn tổng hợp thải 17 02 04
7 - Dung dịch nước tẩy rữa có TPNH 07 01 06
8 - Bùn thải từ HTXLNT 12 06 05
9 - Thùng phuy sắt đựng dầu nhớt, sơn, dầu chống rỉ  18 01 02
10 - Thùng nhựa đựng dầu nhớt, sơn, dầu làm mát 18 01 03
11 - Hóa chất vô cơ và hữu cơ thải 19 02 05</t>
  </si>
  <si>
    <t>1 xe dưới 5T</t>
  </si>
  <si>
    <t>CÔNG TY TNHH MỘT THÀNH VIÊN QUANG DU
74.002.375.T</t>
  </si>
  <si>
    <t>TĐS 322, TBĐS 22, Đường Tân Hiệp 06, Khu phố Ông Đông, Phường Tân Hiệp, Tp HCM</t>
  </si>
  <si>
    <t>1 - Thùng nhựa dính sơn, keo dính TPNH 18 01 03(rắn)
2 - Giẻ lau dính dầu nhớt, keo, sơn, dung môi dính TPNH 18 02 01(rắn)
3 - Bóng đèn huỳnh quang thải 16 01 06(rắn)
4 - Pin, ắc quy chì thải 19 06 01(rắn)
5 - Hộp mực in thải, photo thải 08 02 04(rắn)
6 - Dầu nhớt thải 17 02 04(lỏng)
7 - Keo thải 08 03 01(lỏng)
8 - Cặn sơn, sơn và vecni thải có dung môi hữu cơ hoặc các TPNH 08 01 01(rắn)</t>
  </si>
  <si>
    <t>CÔNG TY TNHH ĐỒ GỖ MASTER CRAFT (VN)
74.000.816.T</t>
  </si>
  <si>
    <t>Đường ĐX 03, Tổ 8, Khu phố Tân Hóa , Phường Tân Khánh, Tp HCM</t>
  </si>
  <si>
    <t>1 - Thùng đựng dầu nhớt, bao bì dính sơn, dung môi thải 18 01 01
2 - Dung môi thải 17 08 03(lỏng)
3 - Giẻ lau dính dầu nhớt, dung môi, sơn thải 18 02 01(rắn)
4 - Hộp mực in thải 08 02 04(rắn)
5 - Cặn sơn thải 08 01 02(rắn)
6 - Pin, ắc quy chì thải 19 06 01(rắn)
7 - Bóng đèn huỳnh quang thải 16 01 06(rắn)</t>
  </si>
  <si>
    <t>01 lần/2 tháng 2,4,6,8,10,12</t>
  </si>
  <si>
    <t>Chát thải hầm cầu, bùn thải bể tự hoại</t>
  </si>
  <si>
    <t>CÔNG TY CỔ PHẦN DƯỢC PHẨM THIÊN DƯỢC
74.000.581.T</t>
  </si>
  <si>
    <t>Lô F3, Đường N5, KCN Nam Tân Uyên, Phường Tân Hiệp, Tp HCM</t>
  </si>
  <si>
    <t>1 - Các loại axit thải khác 02 01 06(lỏng)
2 - Hộp mực in thải có các TPNH 08 02 04(rắn)
3 - Bóng đèn huỳnh quang và các loại thủy tinh hoạt tính thải 16 01 06 (rắn)
4 - Các loại dầu động cơ, hộp số và bôi trơn thải khác 17 02 04(lỏng)
5 - Bao bì mền thải 18 01 01(rắn)
6 - Bao bì cứng thải bằng kim loại bao gồm cả bình chứa áp suất rỗng hoàn toàn 18 01 02 (rắn)
7 - Bao bì cứng bằng nhựa 18 01 03(rắn)
8 - Bao bì cứng thải bằng vật liệu khác 18 01 04(rắn)
9 - Chất hấp thụ, vật liệu lọc (bao gồm cả vật liệu lọc dầu chưa nêu tại các mã khác), giẻ lau, vải bảo vệ thải bị nhiễm các thành phần nguy hại 18 02 01 (rắn)
10 - Hóa chất hữu cơ và vô cơ thải 19 05 02(rắn/lỏng)</t>
  </si>
  <si>
    <t>01 lần/1 tháng</t>
  </si>
  <si>
    <t>14/05/2026</t>
  </si>
  <si>
    <t>Mang 20 phuy
Tuần 4 mang 20 bồn cắt đôi</t>
  </si>
  <si>
    <t>4 Thành báo ngưng 15/05/2026</t>
  </si>
  <si>
    <t>CÔNG TY TNHH KOLON INDUCTRIES VIỆT NAM</t>
  </si>
  <si>
    <t>Ngưng HĐ 12/05/2026</t>
  </si>
  <si>
    <t>4 Ngưng HĐ 01/06/2026</t>
  </si>
  <si>
    <t>4 Ngưng HĐ 15/05/2026</t>
  </si>
  <si>
    <t>CÔNG TY CỔ PHẦN XÂY DỰNG BÌNH DƯƠNG</t>
  </si>
  <si>
    <r>
      <t xml:space="preserve">TĐS 566, TBĐS 12, Đường ĐT 747, Tổ 4, Khu phố Ba Đình, Phường Tân Đông Hiệp, Tp HCM
</t>
    </r>
    <r>
      <rPr>
        <b/>
        <sz val="14"/>
        <rFont val="Times New Roman"/>
        <family val="1"/>
      </rPr>
      <t>Địa chỉ thu gom:
1 - Xí nghiệp đá Thường Tân III: Ấp Thường Tân 3, Xã Thường Tân, Tp HCM
2 - Mỏ Đá Thường Tân VI - Khu II: Ấp Thường Tân 3, Xã Thường Tân, Tp HCM</t>
    </r>
  </si>
  <si>
    <t>17/05/2026</t>
  </si>
  <si>
    <t>Số 81, Đường Tân Mỹ 03, Ấp Vườn Vũ, Phường Tân Uyên, Tp HCM</t>
  </si>
  <si>
    <t>01 - Chất kết dính và chất bịt kín (như keo thải) có dung môi hữu cơ hoặc các thành phần nguy hại khác Rắn 08 03 01
02 - Bao bì cứng thải bằng nhựa Rắn18 01 03
03 - Bao bì cứng thải bằng kim loại Rắn 18 01 03
04 - Mùn cưa, gỗ thừa, thải có thành phần nguy hại Rắn 09 01 01
05 - Bóng đèn huỳnh quang và các loại thủy tinh hoạt tính thải Rắn 16 01 06
06 - Dầu động cơ, hộp số và bôi trơn tổng hợp thải Lỏng 17 02 03
07 - Cặn sơn, sơn và véc ni thải có dung môi hữu cơ hoặc các thành phần nguy hại khác Rắn 08 01 01
08 - Chất hấp thụ, vật liệu lọc, giẻ lau, vải bảo vệ thải bị nhiễm các TPNH Rắn 18 02 01
09 - Bao bì đựng hóa chất sử dụng cho HTXLNT bằng nhựa Rắn 18 01 03
10 - Chai đựng keo dán, dầu nhớt bằng nhựa Rắn 18 01 03
11 - Than hoạt tính Rắn 02 11 02
12 - Nước thải lẫn sơn, véc ni Lỏng 08 01 04
13 - Bùn thải từ quá trình xử lý, che phủ bề mặt Bùn 07 03 07</t>
  </si>
  <si>
    <t>01 - Giẻ lau, bao tay dính nhớt thải, hóa chất thải	Rắn	18 02 01
02 - Bao bì đựng hóa chất, dầu nhớt thải bằng nhựa	Rắn	18 01 03
03 - Bao bì đựng hóa chất, dầu nhớt thải bằng kim loại	Rắn	18 01 02
04 - Bóng đèn huỳnh quang thải	Rắn	16 01 06
05 - Cặn kim loại dính dầu bôi trơn, làm mát thải	Rắn	07 03 08
06 - Pin, ắc quy chì thải	Rắn	19 06 01
07 - Chi tiết máy móc nhiễm thành phần nguy hại	Rắn	19 02 05
08 - Hộp mực máy in	Rắn	08 02 04
09 - Hóa chất phòng thí nghiệm	Lỏng	19 05 02
10 - Bột chống ẩm	Rắn	03 01 07
11 - Bột bôi trơn, xúc tác có thành phần nguy hại	Rắn	03 02 09
12 - Dầu bôi trơn, chống gỉ thải	Lỏng	17 02 04
13 - Bùn thải lẫn dầu	Bùn 	17 05 02
14 - Hóa chất vô cơ và hữu cơ thải 19 05 02</t>
  </si>
  <si>
    <t>1 - Hộp mực in thải có chứa các TPNH 08 02 04
2 - Hỗn hợp dầu mỡ thải và chất béo độc hại từ quá trình phân tích dầu/nước 12 06 04
3  -Bao bì mềm thải 14 01 05
4 - Bóng đèn huỳnh quang và các loại thủy tinh hoạt tính thải 16 01 06
5 - Các loại dầu động cơ, hộp số và bôi trơn thải khác 17 02 04
6 - Bao bì mền thải 18 01 01
7 - Chất hấp thụ, vật liệu lọc (bao gồm cả vật liệu lọc dầu chưa nêu tại các mã khác), giẻ lau, vải bảo vệ thải bị nhiễm các TPNH 18 02 01
8 - Hóa chất và hỗn hợp hóa chất phòng thí nghiệm thải có các TPNH 19 05 02
9 - Pin, ắc quy chì thải 19 06 01</t>
  </si>
  <si>
    <t>Thùng 3.5T</t>
  </si>
  <si>
    <t>Công ty TNHH Sản Xuất - Dịch Vụ - Thương Mại Trí Năng
74.001.618.T</t>
  </si>
  <si>
    <t>7 Ngưng HĐ 23/05/2026</t>
  </si>
  <si>
    <t>3 Ngưng HĐ 23/05/2026</t>
  </si>
  <si>
    <t>4 Ngưng HĐ 23/05/2026</t>
  </si>
  <si>
    <t>Ngưng HĐ 23/05/2026</t>
  </si>
  <si>
    <t>Hooklift</t>
  </si>
  <si>
    <t>4 Ngưng HĐ 27/05/2026</t>
  </si>
  <si>
    <t>5 Ngưng HĐ 27/05/2026</t>
  </si>
  <si>
    <t>Ngưng HĐ 27/05/2026</t>
  </si>
  <si>
    <t>6 Ngưng HĐ 27/05/2026</t>
  </si>
  <si>
    <t>Ngưng HĐ 21/07/2026</t>
  </si>
  <si>
    <t>Lô L4 và L5 Đường D4, KCN Nam Tân Uyên Mở Rộng, Phường Tân Uyên, Tp HCM</t>
  </si>
  <si>
    <t>CÔNG TY TNHH BEIFU CHEMICAL
74,003,240,T</t>
  </si>
  <si>
    <t>1 - Cặn sơn, sơn và vecni thải có dung môi hữu cơ hoăc các TPNH 08 01 01
2 - Huyền phù nước thải lẩn sơn hoăc vecni có dung môi hữu cơ và các thành phần nguy hại 08 01 04
3 - Hộp mực in thải có chứa TPNH 08 02 04
4 - Bóng đèn huỳnh quang và các loại thủy tinh hoạt tính thải 16 01 06
5 - Các loại dầu động cơ, hộp số và bôi trơn thải khác 17 02 04
6 - Bao bì mền thải 18 01 01
7 - Bao bì cứng thải bằng kim loại bao gồm cả bình chứa áp suất bảo đảm rỗng hoàn toàn 18 01 02
8 - Bao bì cứng thải bằng nhựa 18 01 03
9 - Chất hấp thụ, vật liệu lọc (bao gồm cả vật liệu lọc dầu chưa nêu tại các mã khác), giẻ lau, vải bảo vệ thải bị nhiễm các thành phần nguy hại 18 02 01
10 - Pin, ắc quy chì thải 19 06 01
11 - Các loại chất thải khác có các thành phần hữu cơ 19 12 02
12 - Dung môi và hỗn hợp dung môi thải khác 17 08 03
13- Than hoạt tính đã qua sử dụng từ quá trình xử lý khí thải 12 01 04 (rắn)</t>
  </si>
  <si>
    <t>28/05/2026</t>
  </si>
  <si>
    <t>CÔNG TY CỔ PHẦN TÂN TẤN LỘC</t>
  </si>
  <si>
    <t xml:space="preserve"> Lô N5, Đường D4-N8, KCN Nam Tân Uyên, Phường Tân Hiệp, Tp HCM</t>
  </si>
  <si>
    <t>1 - Xỉ than
2 - Bột khoai mì hỏng
3 - Dầu mở thải
4 - Giấy và bao bì giấy carton thải bỏ
5 - Bao bì các loại không dính các tạp chất chứa TPNH</t>
  </si>
  <si>
    <t>Cẩu nhỏ
Thùng dưới 5T</t>
  </si>
  <si>
    <t>Thùng dưới 5T
Thùng lớn
Ép nhỏ</t>
  </si>
  <si>
    <t>2,5</t>
  </si>
  <si>
    <t>4 Ngưng HĐ 02/06/2026</t>
  </si>
  <si>
    <t>Ngưng HĐ 02/06/2026</t>
  </si>
  <si>
    <t>Mang
2 bồn cắt
4 bồn có nắp</t>
  </si>
  <si>
    <t>CÔNG TY TNHH POTTERY CRAFT ASIA</t>
  </si>
  <si>
    <t>Khu phố Tân Hóa Khánh, Phường Tân Hiệp, Tp HCM</t>
  </si>
  <si>
    <t>1 - Bóng đèn huỳnh quang thải 16 01 06
2 - Giẻ lau dính dầu nhớt, sơn thải 18 02 01
3 - Giẻ lau dính dầu dính keo 18 02 01
4 - Pin ắc quy chì thải 19 06 01
5 - Thùng đựng dầu nhớt, đựng sơn 18 01 02
6 - Thùng keo 18 01 02
7 - Thùng nhựa 18 01 03
8 - Lon sơn 18 01 02
9 - Hóa chất hư hỏng thải 19 05 03
10 - Keo thải 08 03 01
11 - Dung môi thải 17 08 03
12 - Dầu nhớt thải 17 02 04 
13 - Hộp mực in thải 08 02 04
14 - Sơn thải 08 01 01
15 - Men hư 06 02 02
16 - Amiang thải( Bông cách nhiệt) 11 06 01
17 - Bùn từ hệ thống xử lý nước thải sinh hoạt 12 06 05 (bùn)</t>
  </si>
  <si>
    <t>Lô N6- Đường D4- Khu công nghiệp Nam Tân Uyên, Phường Tân Hiệp, Thành Phố Hồ Chí Minh, Việt Nam</t>
  </si>
  <si>
    <t>01 - Bao bì mềm thải 18 01 01
02 - Bao bì cứng đựng hóa chất, dầu nhớt bằng kim loại	18 01 02
03 - Bao bì cứng đựng hóa chất, dầu nhớt bằng nhựa 18 01 03
04 - Bùn thải từ hệ thống xử lý nước thải 12 06 05
05 - Chất hữu cơ hết hạn sử dụng hoặc rơi vãi 19 03 02
06 - Giẻ lau dính thuốc bảo vệ thực vật, dầu nhớt thải 18 02 01
07 - Hóa chất phòng thí nghiệm	19 05 02
08 - Bóng đèn huỳnh quang thải 16 01 06
09 - Dầu nhớt thải 17 02 04
10 - Hộp mực in thải 08 02 04
11 - Pin, ắc quy chì thải 19 06 01
12 - Than hoạt tính đã qua sử dụng 02 1 02</t>
  </si>
  <si>
    <t>CÔNG TY CỔ PHẦN NICOTEX NAM THÁI DƯƠNG
74.001.277.T</t>
  </si>
  <si>
    <t>4 Ngưng HĐ 04/06/2026</t>
  </si>
  <si>
    <t>Ngưng HĐ 04/06/2026</t>
  </si>
  <si>
    <t>5 Ngưng HĐ 04/06/2026</t>
  </si>
  <si>
    <t>2 Ngưng HĐ 04/06/2026</t>
  </si>
  <si>
    <t>7 Ngưng HĐ 04/06/2026</t>
  </si>
  <si>
    <t>7 Ngưng HĐ 01/07/2026</t>
  </si>
  <si>
    <t>4 Ngưng HĐ 21/06/2026</t>
  </si>
  <si>
    <t>3 Ngưng HĐ 01/07/2026</t>
  </si>
  <si>
    <t>7 Ngưng HĐ 05/06/2026</t>
  </si>
  <si>
    <t>5 Ngưng HĐ 05/06/2026</t>
  </si>
  <si>
    <t>Ngưng HĐ 01/07/2026</t>
  </si>
  <si>
    <t>4 Ngưng HĐ 01/07/2026</t>
  </si>
  <si>
    <t>5 Ngưng HĐ 01/07/2026</t>
  </si>
  <si>
    <t>5 Ngưng HĐ 21/06/2026</t>
  </si>
  <si>
    <t>3 Ngưng HĐ 22/06/2026</t>
  </si>
  <si>
    <t>7 Ngưng HĐ 22/06/2026</t>
  </si>
  <si>
    <t>4 Ngưng HĐ 05/06/2026</t>
  </si>
  <si>
    <t>4 Ngưng HĐ 06/06/2026</t>
  </si>
  <si>
    <t>2 Ngưng HĐ 06/06/2026</t>
  </si>
  <si>
    <t>5 Ngưng HĐ 06/06/2026</t>
  </si>
  <si>
    <t>CÔNG TY TNHH VẬT LIỆU NGHÀNH IN TÂY XUYÊN</t>
  </si>
  <si>
    <t>1 - Chất hấp thụ, vật liệu lọc (bao gồm cả vật liệu lọc dầu chưa nêu tại các mã khác) , giẻ lau , vải bảo vệ thải bị nhiễm các thành phần nguy hại 18 02 01 (rắn)
2 - Bao bì mềm thải 18 01 01 (rắn)</t>
  </si>
  <si>
    <t>TĐS 1600, TBĐS 9, Đường Tân Phước Khánh 33, Tổ 5, Khu phố Khánh Hội, Phường Tân Khánh, Tp HCM</t>
  </si>
  <si>
    <t>06/06/2026</t>
  </si>
  <si>
    <t>CÔNG TY TNHH VĨNH TÂN
74,003,725,T</t>
  </si>
  <si>
    <t>Tổ 4, Khu phố 8, Phường Tân Uyên, Tp HCM</t>
  </si>
  <si>
    <t>1 - Cặn sơn, sơn và véc ni thải có dung môi hữu cơ hoặc các thành phần nguy hại 08 01 01
2 - Bùn thải sơn hoăc vec ni có dung môi hữu cơ hoăc các thành phần nguy hại 08 01 02
3 - Hộp mực in thải có chứa TPNH 08 02 04
4 - Chất kết dính và chất bịt kín thải có dung môi hữu cơ hoặc có TPNH 08 03 01
5 - Bùn thải có các thành phần nguy hại từ quá trình xử lý nước thải công nghiệp khác 12 06 05
6 - Bóng đèn huỳnh quang thải và các loại thủy tinh hoạt tính thải 16 01 06
7 - Các loại dầu động cơ, hộp số và bôi trơn thải khác 17 02 04
8 - Các loại dung môi và hỗn hợp dung môi thải khác 17 08 03
9 - Bao cứng thải bằng nhựa 18 01 03
10 - Bao bì cứng thải bằng kim loại bao gồm cả bình chứa áp suất bảo đảm rỗng hoàn toàn 18 01 02
11 - Chất hấp thụ, vật liệu lọc (bao gồm cả vật liệu lọc dầu chưa nêu tại các mã khác), giẻ lau, vải bảo vệ thải bị nhiễm các TPNH 18 02 01
12 - Pin, ắc quy chì thải 19 06 01</t>
  </si>
  <si>
    <t>1 - Bao bì chứa dung môi đựng bằng kim loại 18 01 02
2 - Giẻ lau dính dầu nhớt, hóa chất 18 02 01
3 - Bóng đèn huỳnh quang thải 16 01 06
4 - Dầu nhớt thải 17 02 03
5 - Keo (hồ vải, dán gỗ) rơi vãi 08 03 01
6 - Bao bì đựng dung môi bằng nhựa 18 01 03
7 - Pin, ắc quy chì thải 16 01 02
8 - Hộp mực in thải 08 02 04
9 - Bùn từ hệ thống xử lý nước thải 12 06 05</t>
  </si>
  <si>
    <t>10 - Than họa tính (trong buồng hấp phụ) đã qua sử dụng từ quá trình xử lý chất thải 12 01 04</t>
  </si>
  <si>
    <t>PLHĐ 06/06/2026</t>
  </si>
  <si>
    <t>CÔNG TY TNHH NỘI THẤT MÊ KÔNG</t>
  </si>
  <si>
    <t>1 - Thùng nhựa dính TPNH (dính dầu nhớt, keo, sơn, dung môi) 18 01 03(rắn)
2 - Thùng kim loại dính TPNH (dính dầu nhớt, keo, sơn, dung môi) 18 01 02(rắn)
3 - Giẻ lau dính keo, dung môi, sơn, dầu nhớt dính TPNH 18 02 01(rắn)
4 - Dầu thủy lực tổng hợp thải 17 01 06(lỏng)
5 - Bùn thải có các thành phần nguy hại từ quá trình xử lý nước thải công nghiệp khác 12 06 05(bùn)
6 - Keo thải 08 03 01(lỏng)
7 - Cặn sơn thải 08 01 01(rắn)
8 - Dầu nhớt thải 17 02 04(lỏng)
9 - Hộp mực in thải 08 02 04(rắn)
10 - Bóng đèn huỳnh quang 16 01 06(rắn)
11 - Pin, ắc quy chì thải 19 06 01(rắn)
12 - Mùn cưa phoi bào, đầu mẫu gỗ thừa, ván gỗ dán vụn thải, có các TPNH 09 01 01(rắn)
13 - Bao bì nềm thải 18 01 01(rắn)
14- Chất thải có chứa tác nhân lây nhiễm 13 01 01(rắn)</t>
  </si>
  <si>
    <t>Đường 2B, Khu phố 2, Phường Bình Dương, Tp HCM
Địa chỉ thu gom: Lô J1, J2, J19 và J20 Đường N3, N4 và D2, KCN Nam Tân Uyên Mở Rộng, Phường Tân Uyên, Tp HCM</t>
  </si>
  <si>
    <t>Số 5, đường số 23, Khu công nghiệp Việt Nam – Singapore II-A, Phường Vĩnh Tân, Thành Phố Hồ Chí Minh, Việt Nam</t>
  </si>
  <si>
    <t>01 - Bóng đèn huỳnh quang và các loại thủy tinh hoạt tính thải Rắn 16 01 06
02 - Chất hấp thụ, vật liệu lọc (bao gồm cả vật liệu lọc dầu), giẻ lau, vải bảo vệ thải bị nhiễm thành phần nguy hại Rắn 18 02 01
03 - Các loại dầu động cơ, hộp số và bôi trơn thải khác Lỏng 17 02 04
04 - Pin, ắc quy chì thải Rắn 19 06 01
05 - Bao bì cứng thải bằng kim loại bao gồm cả bình chứa áp suất bảo đảm rỗng hoàn toàn Rắn 18 01 02
06 - Bao bì cứng thải bằng nhựa Rắn 18 01 03
07 - Bao bì mềm thải Rắn 18 01 01
08 - Các loại chất hấp thụ đã qua sử dụng và bã lọc khác Rắn 03 02 07
09 - Chất thải lây nhiễm (bao gồm cả chất thải sắc nhọn) Rắn 13 01 01
10 - Hộp mực in, photo thải Rắn 08 02 04
11 - Hóa chất vô cơ thải bao gồm hoặc có thành phần nguy hại Rắn 19 05 03
12 - Các thiết bị, bộ phận, linh kiện điện tử thải Rắn 19 02 06
13 - Hạt thủy tinh thải Rắn 07 03 10
14 - Cặn sơn, sơn và vẹc ni thải có dung môi hữu cơ hoặc các thành phần nguy hại khác Rắn/ Lỏng 08 01 01
15 - Váng dầu mỡ thải và chất béo độc hại từ quá trình phân tách dầu/nước Rắn/ Lỏng 12 06 04</t>
  </si>
  <si>
    <t>Số 2, đường số 22, Khu công nghiệp Việt Nam – Singapore II-A, Phường Vĩnh Tân, Thành Phố Hồ Chí Minh, Việt Nam</t>
  </si>
  <si>
    <t>01 - Phế thải thiết bị bảo hộ cá nhân, vải lau không nhiễm hóa chất (bao tay, vải không nhiễm dầu, băng rôn,…)
02 - Cát mịn sau khi dùng trong trong bắn cát (vệ sinh khuôn sản xuất lớp cao su)
03 - Bê tông
04 - Kính
05 - Băng tải
06 - Giấy
07 - Đá cắt, đá mài không thành phần nguy hại
08 - Nylon, dây đai, mút xốp, gỗ vụn, giấy vụn, kính vỡ, cát thải, băng tải hỏng, nhựa thải
09 - Ống dẫn khí nén
10 - Thiết bị điện (phích cắm điện, ổ điện, dây điện, CP)
11 - Dầu ăn đã qua sử dụng</t>
  </si>
  <si>
    <t>5 Ngưng HĐ 09/06/2026</t>
  </si>
  <si>
    <t>4 Ngưng HĐ 09/06/2026</t>
  </si>
  <si>
    <t>3 Ngưng HĐ 09/06/2026</t>
  </si>
  <si>
    <t>7 Ngưng HĐ 09/06/2026</t>
  </si>
  <si>
    <t>Ngưng HĐ 09/06/2026</t>
  </si>
  <si>
    <t>1- Giấy nhám đã qua sử dụng không dính TPNH
2- Vỏ khuôn đúc
3-Bùn thải công nghiệp
4- Mút xốp, carton, nilon, dây dai, giấy vụn, nhựa tahir, gỗ thỉa
5- Cát thải từ quá tình tách khuôn đúc, vệ sinh sảm phẩm
6- Xỉ tro trấu</t>
  </si>
  <si>
    <t>4 Ngưng HĐ 10/06/2026</t>
  </si>
  <si>
    <t>5 Ngưng HĐ 10/06/2026</t>
  </si>
  <si>
    <t>7 Ngưng HĐ 10/06/2026</t>
  </si>
  <si>
    <t>14/06/2026</t>
  </si>
  <si>
    <t>CÔNG TY TNHH THƯƠNG MẠI VÀ SẢN XUẤT ANH EM
74.002.302.T</t>
  </si>
  <si>
    <t xml:space="preserve">1 - Cặn sơn thải 08 01 01
2 - Hộp mực máy in, máy photo thải 08 02 04
3 - Keo thải 08 03 01
4 - Gỗ vụn dính thành phần nguy hại 09 01 01
5 - Bùn thải từ HTXL nước thải 12 06 05
6 - Bóng đèn huỳnh quang thải 16 01 06
7 - Dầu thủy lực thải 17 01 06
8 - Dầu nhớt thải 17 02 04
9 - Dung môi thải 17 08 03
10 - Bao bì mền thải 18 01 01
11 - Thùng kim loại dính TPNH 18 01 02
12 - Thùng nhựa dính thành phần nguy hại 18 01 03
13 - Giẻ lau, bao tay dung môi, sơn, keo, dầu nhớt, dính TPNH 18 02 01
14 - Màng hấp thụ cụi sơn thải 18 02 01
15 - Pin, ắc quy chì thải 19 06 01
</t>
  </si>
  <si>
    <t>Số 7, Đường số 31, KCN Vsip II-A, Phường Vĩnh Tân, Tp HCM</t>
  </si>
  <si>
    <t>PLBS 14/06/2026</t>
  </si>
  <si>
    <t>9 - Cặn sơn, sơn và vécni thải có dung môi hữu cơ hoặc các TPNH khác 08 01 01 (PLBS)</t>
  </si>
  <si>
    <t>TYC Tuyến</t>
  </si>
  <si>
    <t>CÔNG TY CỔ PHẦN VƯƠNG HOÀNG PHÁT
74.001.009.T</t>
  </si>
  <si>
    <t>1 - Giẻ lau, bao tay dính dầu mỡ từ quá trình sửa chữa xe ô tô 18 02 01(rắn)
2 - Dầu nhớt thải 17 02 04(lỏng)
3 - Can chứa dầu nhớt 18 01 01(rắn)
4 - Bóng đèn huỳnh quang 16 01 06(rắn)
5 - Hộp mực in thải 08 02 04(rắn)
6 - Pin, ắc quy chì thải 19 06 01(rắn)</t>
  </si>
  <si>
    <t>17/06/2026</t>
  </si>
  <si>
    <t>CÔNG TY TNHH PHI KHANG
74.002.238.T</t>
  </si>
  <si>
    <t>SỐ 07/ĐX5 - TH, TỔ 9, KHU PHỐ TÂN HÓA, PHƯỜNG TÂN KHÁNH, TP HCM</t>
  </si>
  <si>
    <t>1 - Cặn sơn, sơn và véc ni thải có dung môi hữu cơ hoặc các TPNH 08 01 01(rắn)
2 - Chất thải từ quá trình cạo, bóc tách sơn hoặc vécni có dung môi hữu cơ hoặc các TPNH khác 08 01 03(rắn)
3 - Hộp mực in thải 08 02 04(rắn)
4 - Gổ thải có các thành phần nguy hại 09 01 01(rắn)
5 - Than hoạt tính thải từ hệ thống xử lý bụi sơn, hơi dung môi 12 01 04(rắn)
6 - Bóng đèn huỳnh quang thải 16 01 06(rắn)
7 - Các loại dầu động cơ, hộp số và bôi trơn thải khác 17 02 04(lỏng)
8 - Bao bì mền thải dính TPNH 18 01 01(rắn)
9 - Bao bì cứng thải bằng kim loại (thùng phuy) 18 01 02(rắn)
10 - Bao bì cứng thải bằng nhựa nhiễm TPNH 18 01 03 (rắn)
11 - Giẻ lau, bao tay nhiễm thành phần nguy hại 18 02 01(rắn)
12 - Các loại pin, ắc quy thải 19 06 01(rắn)</t>
  </si>
  <si>
    <t>30/06/2028</t>
  </si>
  <si>
    <t>CÔNG TY TNHH LẬP VĂN</t>
  </si>
  <si>
    <t>số 2, KCN Vsip II-A, đường số 17, KCN Việt Nam Singapore II-A, Phường Vĩnh tân, Tp HCM</t>
  </si>
  <si>
    <t>Mang 8 bồn
0704668997</t>
  </si>
  <si>
    <t>CÔNG TY TNHH DP SYSTEMS ELECTRONIC MECHANICAL TECHNOLOGY VIỆT NAM</t>
  </si>
  <si>
    <t>Số 2, Vsip II-A, Đường số 11, KCN Vsip II-A, Phường Vĩnh Tân, Tp HCM</t>
  </si>
  <si>
    <t>24/06/2026</t>
  </si>
  <si>
    <t>CÔNG TY TNHH PHÚ MẬU
74.002.227.T</t>
  </si>
  <si>
    <t>KP Khánh Lộc, phường Tân Hiệp, TPHCM</t>
  </si>
  <si>
    <t>1- Bóng đèn huỳnh quang thải  16 01 06
2- Dầu nhớt thải  17 02 04
3- Giẻ lau dính dầu nhớt, sơn, dung môi 18 02 01
4- Rác thải y tế 13 01 01
5- Hộp mực in thải  08 02 04
6- Pin, ắc quy chì thải  19 06 01
7- Thùng kim loại đựng dầu nhớt, sơn, dung môi 18 01 02
8- Sơn thải  08 01 01
9- Dung môi thải 17 08 03
10- Bàn ghế hư dính sơn thải 09 01 01
11- Bùn thải từ hệ thống xử lý nước thải 12 06 05</t>
  </si>
  <si>
    <t>CÔNG TY TNHH MỘT THÀNH VIÊN CƠ KHÍ PHƯƠNG MY</t>
  </si>
  <si>
    <t>Thửa đất số 19, tờ bản đồ số 12, Khu Phố An Thành , Phường Tân Khánh, TPHCM</t>
  </si>
  <si>
    <t>CÔNG TY TNHH SẢN XUẤT VÀ THƯƠNG MẠI NHẤT KIẾN
74.000.567.T</t>
  </si>
  <si>
    <t>Thửa 424, 658, tờ bản đồ 09, Khu phố Khánh Hội, Phường Tân Khánh, Thành phố Hồ Chí Minh, Việt Nam</t>
  </si>
  <si>
    <t>1 - Bóng đèn huỳnh quang thải 16 01 06
2 - Dầu nhớt thải 17 02 04
3 - Giẻ lau dính dầu nhớt, keo, dung môi, mực in 18 02 01
4 - Hộp mực in thải  08 02 04
5 - Pin ắc quy chì thải  19 06 01
6 - Thùng kim loại đựng dầu nhớt, dung môi, mực in 18 01 02
7 - Thùng đựng keo thải 18 01 03
8 - Keo thải  08 03 01
9 - Mực in thải 08 02 01
10 - Dung môi thải 17 08 03
11 - Bùn từ hệ thống xử lý nước thải sinh hoạt 12 06 05
12 - Rác thải y tế 13 01 01</t>
  </si>
  <si>
    <t>4 Ngưng HĐ 21/07/2026</t>
  </si>
  <si>
    <t>4 Ngưng HĐ 03/07/2026</t>
  </si>
  <si>
    <t>4 Ngưng HĐ 20/06/2026</t>
  </si>
  <si>
    <t>7 Ngưng HĐ 20/06/2026</t>
  </si>
  <si>
    <t>6 Ngưng HĐ 20/06/2026</t>
  </si>
  <si>
    <t>2,5 Ngưng HĐ 30/06/2026</t>
  </si>
  <si>
    <t>Số 1768, Tổ 1, KP.Phước Thái, Phường Tân Khánh, Thành phố Hồ Chí Minh, Việt Nam</t>
  </si>
  <si>
    <t xml:space="preserve">1- Nilon, dây đai, mút xốp, gỗ vụn, giấy vụn, vải vụn </t>
  </si>
  <si>
    <t>25/06/2026</t>
  </si>
  <si>
    <t>1 - Cặn sơn, sơn và vecni thải có dung môi hữu cơ hoặc các thành phần nguy hại khác 08 01 01
2 - Bùn thải lẫn sơn hoặc véc ni có dung môi hữu cơ hoặc các thành phần nguy hại khác 08 01 02
3 - Mực in thải có chứa các thành phần nguy hại 08 02 01
4 - Bùn mực in thải có các thành phần nguy hại 08 02 02
5 - Hộp mực in thải có chứa các thành phần nguy hại 08 02 04
6 - Chất kết dính và chất bịt kín thải có dung môi hữu cơ hoặc các thành phần nguy hại khác 08 03 01
7 - Bùn thải có các thành phần nguy hại từ các quá trình xử lý nước thải công nghiệp khác 12 06 05
8 - Bóng đèn huỳnh quang và các loại thủy tinh hoạt tính thải 16 01 06
9 - Các loại dầu động cơ, hộp số và bôi trơn thải khác 17 02 04
10 - Các loại dung môi và hổn hợp dung môi thải khác 17 08 03
11 - Bao bì mền thải 18 01 01
12 - Bao bì cứng thải bằng kim loại bao gồm cả bình chứa áp suất bảo đảm rỗng hoàn toàn 18 01 02
13 - Bao bì cứng thải bằng nhựa 18 01 03
14 - Chất hấp thụ, vật liệu lọc (bao gồm cả vật liệu lọc dầu chưa nêu tại các mã khác), giẻ lau, vải bảo vệ thải bị nhiễm các thành phần nguy hại 18 02 01
15 - Pin, ắc quy chì thải 19 06 01
16 - Các loại chất thải khác có các thành phần nguy hại hữu cơ 19 12 02</t>
  </si>
  <si>
    <t>Cẩu lớn
Mang 6 bồn cắt</t>
  </si>
  <si>
    <t>4 Ngưng HĐ 30/06/2026</t>
  </si>
  <si>
    <t>2,4,6 Ngưng HĐ 30/06/2026</t>
  </si>
  <si>
    <t>6 Ngưng HĐ 30/06/2026</t>
  </si>
  <si>
    <t>1 - Bóng đèn huỳnh quang thải 16 01 06 (rắn)
2 - Dầu nhớt thải 17 02 04(lỏng)
3 - Giẻ lau bị nhiễm các TPNH 18 02 01(rắn)
4 - Bao bì đựng dung môi, sơn, hóa chất bằng kim loại 18 01 02(rắn)
5 - Dung môi thải 17 08 03(lỏng)
6 - Keo thải 08 03 01(lỏng)
7 - Bao bì đựng dầu nhớt, đựng keo bằng nhựa thải 18 01 03(rắn)
8 - Pin, ắc quy chì thải 19 06 01(rắn)</t>
  </si>
  <si>
    <t>Công ty LD TNHH KCN VN Singapore
74.000.391.T</t>
  </si>
  <si>
    <t>Công ty LD TNHH KCN VN Singapore</t>
  </si>
  <si>
    <t>TĐS 37, TBĐ số 27, Khu phố Tân Hóa Khánh, Phường Tân Hiệp, Tp HCM</t>
  </si>
  <si>
    <t>CÔNG TY TNHH DAE YOUNG VINA
74,001,491,T</t>
  </si>
  <si>
    <t>1 - Chất xúc tác hư hỏng đã qua sử dụng thải 19 08 01
2 - Bao bì nhựa cứng dính hóa chất thải 18 01 03
3 - Thùng kim loại cứng dính keo, sơn, dung môi, dầu nhớt, hóa chất các loại 18 01 02
4 - Hóa chất vô cơ các loại thải 19 05 03
5 - Dầu nhớt thải 17 02 04
6 - Hóa chất hữu cơ các loại thải 19 05 04
7 - Dung môi thải 17 08 03
8 - Giẻ lau dính keo, dung môi, dầu nhớt, hóa chất 18 02 01
9 - Keo thải 08 03 01
10 - Bóng đèn huỳnh quang thải 16 01 06
11 - Rác thải y tế 13 01 01
12 - Axit thải 02 01 06
13 - Bao bì nylon, giấy dính hóa chất 18 01 01
14 - Pin, ắc quy chì thải 19 06 01
15 - Hộp mực in thải 08 02 04
16 - Sơn thải 08 01 01
17- Các loại chất thải khác có các thành phần nguy hại vô cơ và hữu cơ (cát bắn khuôn thải) 19 12 03
18- Nước thải có chứa thành phần nguy hại 19 10 01</t>
  </si>
  <si>
    <t>01/07/2026</t>
  </si>
  <si>
    <t>5 Ngưng HĐ 27/06/2026</t>
  </si>
  <si>
    <t>Ngưng HĐ 27/06/2026</t>
  </si>
  <si>
    <t>4 Ngưng HĐ 20/07/2026</t>
  </si>
  <si>
    <t>4 Ngưng HĐ 02/07/2026</t>
  </si>
  <si>
    <t>4 Ngưng HĐ 31/07/2026</t>
  </si>
  <si>
    <t>Ngưng HĐ 12/07/2026</t>
  </si>
  <si>
    <t>3 Ngưng HĐ 12/07/2026</t>
  </si>
  <si>
    <t>5 Ngưng HĐ 02/07/2026</t>
  </si>
  <si>
    <t>CÔNG TY TNHH CAMSO VIỆT NAM</t>
  </si>
  <si>
    <t>01 - Bóng đèn huỳnh quang và các loại thủy tinh hoạt tính thải Rắn 16 01 06
02 - Chất hấp thụ, vật liệu lọc (bao gồm cả vật liệu lọc dầu), giẻ lau, vải bảo vệ thải bị nhiễm thành phần nguy hại Rắn 18 02 01
03 - Các loại dầu động cơ, hộp số và bôi trơn thải khác Lỏng 17 02 04
04 - Pin, ắc quy chì thải Rắn 19 06 01
05 - Bao bì cứng thải bằng kim loại bao gồm cả bình chứa áp suất bảo đảm rỗng hoàn toàn Rắn 18 01 02
06 - Bao bì cứng thải bằng nhựa Rắn 18 01 03
07 - Bao bì mềm thải Rắn 18 01 01
08 - Các loại chất hấp thụ đã qua sử dụng và bã lọc khác Rắn 03 02 07
09 - Chất thải lây nhiễm (bao gồm cả chất thải sắc nhọn) Rắn 13 01 01
10 - Hộp mực in, photo thải Rắn 08 02 04
11 - Hóa chất vô cơ thải bao gồm hoặc có thành phần nguy hại Rắn 19 05 03
12 - Các thiết bị, bộ phận, linh kiện điện tử thải Rắn 19 02 06
13 - Chất phụ gia thải có các TPNH 03 02 09
14 - Cặn sơn, sơn và vẹc ni thải có dung môi hữu cơ hoặc các thành phần nguy hại khác Rắn/ Lỏng 08 01 01
15 - Váng dầu mỡ thải và chất béo độc hại từ quá trình phân tách dầu/nước Rắn/ Lỏng 12 06 04
16 - Các loại chất thải khác có các TPNH vô cơ và hữu cơ 19 12 03</t>
  </si>
  <si>
    <t>1 - Hộp mực in thải có các TPNH 08 01 02 ( rắn)
2 - Bùn mực thải có các TPNH 08 02 02( Bùn)
3 - Hộp mực in thải có các thành phần nguy hại 08 02 04 ( rắn)
4 - Dung dịch bản khắc axit (hoặc kiềm) thải 08 02 03 ( Lỏng)
5 - Chất kết dính chất bịt kín thải có dung môi hữu cơ hoặc các TPNH 08 03 01 ( rắn)
6 - Bùn thải có các thành phần nguy hại từ quá trình xử lý nước thải công nghiệp khác 12 06 05 ( Bùn)
7 - Bóng đèn huỳnh quang thải 16 01 06 ( rắn)
8 - Dầu thủy lực tổng hợp thải 17 01 06
9 - Các loại dầu động cơ, hộp số và bôi trơn thải khác 17 02 04 ( Lỏng)
10 - Các loại dung môi và hỗn hợp dung môi thải khác 17 08 03 ( Lỏng)
11 - Bao bì mền thải 18 01 01 ( rắn)
12 - Bao bì cứng thải bằng kim loại bao gồm cả bình chứa áp suất bảo đảm rỗng hoàn toàn 18 01 02 ( rắn)
13 - Báo bì cứng thải bằng nhựa 18 01 03 ( rắn)
14 - Chất hấp thụ, vật liêu lọc (bao gồm cả vật liệu lọc dầu chưa nêu tại các mã khác), giẻ lau, vải bảo vệ thải bị nhiễm các TPNH 18 02 01 ( rắn)
15 - Pin, ắc quy chì thải 19 06 01 ( rắn)
16 - Các loại chất thải khác có chứa thành phần nguy hại vô cơ và hữu cơ (than hoạt tính thải) 19 12 03 ( rắn)</t>
  </si>
  <si>
    <t>PYC 06/07/2026</t>
  </si>
  <si>
    <t>CÔNG TY TNHH SHINING STAR PRINTING AND PACKAGING VIỆT NAM
74,003,948,T</t>
  </si>
  <si>
    <t>Số 06, Đường số 16, KCN VN Singapore II-A, Phường Vĩnh Tân, Tp HCM</t>
  </si>
  <si>
    <t>CÔNG TY TNHH SHINING STAR PRINTING AND PACKAGING VIỆT NAM</t>
  </si>
  <si>
    <t>Carton, Nylon, dây đai, mút xốp, gỗ vụn, giấy vụn, tro đốt lò, bụi gỗ</t>
  </si>
  <si>
    <t>Lô F, đường N6b, Cụm Công nghiệp Phú Chánh 1, Phường Bình Dương, Thành phố Hồ Chí Minh, Việt Nam</t>
  </si>
  <si>
    <t>1- Cặn sơn, sơn và vec ni thải có dung môi hữu cơ hoặc các thành phần nguy hại khác – 08 01 01 (Rắn/Lỏng)
2- Hộp mực in thải có chứa thành phần nguy hại – 08 02 04 (Rắn)
3- Bùn thải có các thành phần nguy hại từ các quá trình xử lý nước thải công nghiệp khác – 12 06 05 (Bùn)
4- Bóng đèn huỳnh quang và các loại thủy tinh hoạt tính thải – 16 01 06(Rắn)
5- Các loại dầu động cơ, hộp số và bôi trơn thải khác – 17 02 04 (Lỏng)
6- Các loại dung môi và hỗn hợp dung môi khác – 17 08 03 (Lỏng)
7- Bao bì mềm thải – 18 01 01(Rắn)
8- Bao bì cứng thải bằng kim loại bao gồm cả bình chứa áp suất bảo đảm rỗng hoàn toàn – 18 01 02 (Rắn)
9- Bao bì cứng thải bằng nhựa – 18 01 03 (Rắn)
10- Chất hấp thụ, vật liệu lọc (bao gồm cả vật liệu lọc dầu chưa nêu tên tại các mã khác), giẻ lau, vải bảo vệ thải bị nhiễm các TPNH – 18 02 01(Rắn)
11- Hóa chất và hỗn hợp hóa chất phòng thí nghiệm thải có các TPNH – 19 05 02 (Rắn/ Lỏng)
12- Pin, ắc quy chì thải – 19 06 01 (Rắn)
13- Các loại chất thải khác có các thành phần nguy hại hữu cơ – 19 12 02 (Rắn)
14- Than hoạt tính thải – 12 01 04 (Rắn)</t>
  </si>
  <si>
    <t>10/07/2026</t>
  </si>
  <si>
    <t>Thùng nhỏ
Cẩu nhỏ
Cẩu lớn</t>
  </si>
  <si>
    <t>CÔNG TY TNHH THƯƠNG MẠI VÀ SẢN XUẤT SAO NAM
74.001.877.T</t>
  </si>
  <si>
    <t>Lô P4 đường D7, khu công nghiệp Nam Tân Uyên, Phường Tân Hiệp, TP Hồ Chí Minh, Việt Nam</t>
  </si>
  <si>
    <t xml:space="preserve">1- Giẻ lau, bao tay dính dầu nhớt, dung môi, keo, sơn thải – 18 02 01 (Rắn)
2- Thùng chứa dầu nhớt, sơn, keo, dung môi bằng kim loại thải – 18 01 02 (Rắn)
3- Bao bì chứa dầu nhớt, sơn, keo, dung môi bằng nhựa thải – 18 01 03 (Rắn)
4- Cặn sơn thải – 08 01 01 (Rắn)
5- Dầu thủy lực tổng hợp thải từ quá trình gia công tạo hình - 17 01 06 (Lỏng)
6- Dung môi thải – 18 01 02 (Rắn)
7- Hộp mực máy in, máy photo thải – 08 02 04 (Rắn)
8- Bóng đèn huỳnh quang thải – 16 01 06 (Rắn)
9- Pin, ắc quy chì thải – 19 06 01 (Rắn)
10- Dầu nhớt thải – 17 02 04 (Lỏng)
11- Bùn thải từ hệ thống xử lý nước thải - 12 06 05 (Rắn)
</t>
  </si>
  <si>
    <t>09/07/2026</t>
  </si>
  <si>
    <t>20/1/2028</t>
  </si>
  <si>
    <t>Cẩu nhỏ
Cẩu lớn</t>
  </si>
  <si>
    <t>CÔNG TY TNHH PHAN THANH
74.000.754.T</t>
  </si>
  <si>
    <t>Thửa đất số 104,93, Tờ bản đồ số 32,  Ấp 2, Xã Thường Tân, Thành phố Hồ Chí Minh, Việt Nam</t>
  </si>
  <si>
    <t>1- Thùng đựng dầu nhớt, bao bì dính thuốc nổ thải 18 01 01 Rắn
2- Dầu nhớt thảiGiẻ lau dính dầu nhớt thải 17 02 04 Lỏng
3- Giẻ lau dính dầu nhớt thải 18 02 01 Rắn
4- Bóng đèn huỳnh quang thải 16 01 06 Rắn
5- Pin, ắc quy chì thải 19 06 01 Rắn
6- Hộp mực in thải 08 02 04 Rắn</t>
  </si>
  <si>
    <t>02/06/2028</t>
  </si>
  <si>
    <t>CÔNG TY TNHH ĐÁ XÂY DỰNG BÌNH DƯƠNG
74.002.563.T</t>
  </si>
  <si>
    <t>Công ty TNHH Hoàng Gia Trung: Thửa đất số 881, Tờ bản đồ số 25, ấp 2, Xã Thường Tân, Thành phố Hồ Chí Minh, Việt Nam</t>
  </si>
  <si>
    <t>1- Giẻ lau dính dầu nhớt thải 18 02 01 Rắn
2- Bóng đèn huỳnh quang thải 16 01 06 Rắn
3- Dầu nhớt thải của các phương tiện giao thông đường bộ 15 01 07 Rắn
4- Pin, ắc quy chì thải 19 06 01 Rắn
5- Bao bì mềm thải (bao nilon dính dầu nhớt, mỡ bò thải) 18 01 01 Rắn
6- Hộp mực in thải có các thành phần nguy hại 08 02 04 Rắn
7- Các thiết bị, linh kiện điện tử thải 16 01 13 Rắn</t>
  </si>
  <si>
    <t>20/06/2028</t>
  </si>
  <si>
    <t xml:space="preserve">CÔNG TY TNHH ACHEM TECHNOLOGY ( VIỆT NAM) </t>
  </si>
  <si>
    <t>Số 1 VSIP II-A, Đường số 15, KCN Việt Nam - Singapore II-A, Phường Vĩnh Tân , TP.Hồ Chí Minh , Việt Nam</t>
  </si>
  <si>
    <t>1- Hộp mực in thải 08 02 04 Rắn
2- Keo hỏng thải 08 03 01 Lỏng
3- Bóng đèn huỳnh quang thải 16 01 06 Rắn
4- Chất kết dính và nhựa hại, băng keo thải 16 01 09 Rắn
5- Nhớt thải 17 02 03 Lỏng
6- Bao bì đựng hóa chất 18 01 01 Rắn
7- Can đựng dầu nhớt, can đựng hóa chất 18 01 03 Rắn
8- Giẻ lau dính dầu nhớt, hóa chất 18 02 01 Rắn
9- Pin, ắc quy chì thải 19 06 01 Rắn
10- Than hoạt tính (buồng hấp thụ phụ ) đã qua sử dụng từ quá trình xử lý khí thải) 12 01 04 Rắn
11- Bùn từ hệ thống xử lý nước thải 12 06 05 Bùn</t>
  </si>
  <si>
    <t xml:space="preserve">1 lần/tháng
</t>
  </si>
  <si>
    <t>Tuyến</t>
  </si>
  <si>
    <t>CÔNG TY TNHH TIEN YU ENTERPRISE (VIỆT NAM)
74.000.550.T</t>
  </si>
  <si>
    <t>Thửa đất số 250, Tờ bản đồ số 26, Khu phố Bến Sắn, Phường Tân Hiệp, Thành phố Hồ Chí Minh</t>
  </si>
  <si>
    <t>1- Bao bì, can, thùng đựng dầu nhớt, hóa chất, dung môi, màu thải 18 01 01 Rắn
2- Giẻ lau, bao tay dính dầu nhớt, sơn, dung môi, hóa chất, màu thải 18 02 01 Rắn
3- Dầu nhớt thải 17 02 04 Lỏng
4- Pin ắc quy chì thải 19 06 01 Rắn
5- Hộp mực in thải 08 02 04 Rắn
6- Bóng đèn huỳnh quang thải 16 01 06 Rắn
7- Hóa chất thải 19 05 04 Rắn
8- Dung môi thải 08 03 01 Lỏng
9- Dung môi lẫn sơn thải 08 01 05 Lỏng
10- Bùn từ hệ thống xử lý nước thải 12 06 05 Bùn</t>
  </si>
  <si>
    <t>1-Bóng đèn huỳnh quang 16 01 06 (rắn)
2- Bao bì dính hóa chất 18 01 01 (rắn)
3- Dầu nhớt thỉa 17 02 04 lỏng)
4- Giẻ lau dính dầu 18 02 01 (rắn)
5- Bùn từ hệ thống xử lý bụi sơn 08 01 02 (bùn)
6- Sơn, dung môi thải 08 01 01 (lỏng)</t>
  </si>
  <si>
    <t>CÔNG TY TNHH NAM HẢI</t>
  </si>
  <si>
    <t>Chi nhánh 3: TĐS 318, TBĐS 59, Khu phố 7, Phường Tân Uyên, Tp HCM</t>
  </si>
  <si>
    <t>PL 10/07/2026</t>
  </si>
  <si>
    <t>Cẩu nhỏ
Cẩu lớn
Thùng 3.5T
Thùng lớn
Ép nhỏ
Ép lớn</t>
  </si>
  <si>
    <t>Mút xốp, dây dai, giấy vụn, carton, nilon, balet gỗ hỏng, …. Phát sinh từ nghành gỗ không dính thành phần nguy hại</t>
  </si>
  <si>
    <t>CÔNG TY TNHH SẢN XUẤT -THƯƠNG MẠI -DỊCH VỤ TÂN TÂN MỸ
74.001.170.T</t>
  </si>
  <si>
    <t>Mỏ Đá Tân Mỹ A,  ấp Mỹ Lộc, xã Thường Tân, TPHCM</t>
  </si>
  <si>
    <t>1- Thùng đựung dầu nhớt thải 18 01 01(rắn)
2- Giẻ lau dính dầu nhớt 18 02 01(rắn)
3- Dầu nhớt thải 17 02 04(lỏng)
4- Bóng đèn huỳnh quang thải 16 01 06(rắn)
5- Hộp mực in thải 08 02 04(rắn)
6- Pin/ắc quy chì thải 19 06 01(rắn)</t>
  </si>
  <si>
    <t>CÔNG TY TNHH SERENDIPITY GROUP</t>
  </si>
  <si>
    <t>Thửa đất số 397, tờ bản đồ số 9, Khu PHố Khánh Hội, Phường Tân Khánh , TPHCM</t>
  </si>
  <si>
    <t>Carton , nylon, dây đai , mút xốp,gỗ vụn , nhựa thải , giấy vụn, da vụn, vải vụn không dính thành phần nguy hại</t>
  </si>
  <si>
    <t>Cặn sơn, sơn và vecni thải có dung môi hữu cơ  hoặc các TPNH 08 01 01 (rắn, lỏng)</t>
  </si>
  <si>
    <t>1 - Hộp mực in thải 08 02 04(rắn)
2 - Chất hấp thụ, vật liệu lọc (bao gồm cả vật liệu lọc dầu), giẻ lau, vải bảo vệ thải bị nhiễm thành phần nguy hại 18 02 01(rắn)
3 - Bóng đèn huỳnh quang và các loại thủy tinh hoạt tính thải 16 01 06(rắn)
4 - Mực in thải 08 02 01(rắn)
5 - Dầu nhớt thải 17 02 04(lỏng)
6 - Bao bì mền thải 18 01 01(rắn)
7 - Bao bì cứng thải bằng kim loại 18 01 02(rắn)
8 - Bao bì cứng thải bằng nhựa 18 01 03(rắn)
9 - Pin, ắc quy chì thải 19 06 01(rắn)
10 - Bùn mực in thải 08 02 02(bùn)</t>
  </si>
  <si>
    <t>Cầu nhỏ
Cẩu lớn</t>
  </si>
  <si>
    <t>31/05/2028</t>
  </si>
  <si>
    <t>CÔNG TY CỔ PHẦN S FURNITURE
74,003,010,T</t>
  </si>
  <si>
    <t>Lô J13, Đường  N3, KCN Nam Tân Uyên Mở Rộng, Phường Bình Cơ, Tp HCM</t>
  </si>
  <si>
    <t>1 - Bóng đèn huỳnh quang thải và các loại thủy tinh hoạt tính thải 16 01 06 ( Rắn)
2 - Chất hấp thụ, vật liệu lọc, giẻ lau, vải bảo vệ nhiễm TPNH 18 02 01( Rắn)
3 - Bao bì cứng thải bằng kim loại 18 01 02( Rắn)
4 - Bao bì cứng thải bằng nhựa 18 01 03( Rắn)
5 - Cặn sơn, sơn và vecni thải có chứa dung môi hữu cơ hoăc các thành phần nguy hại 08 01 01 ( Rắn)
6 - Bùn sơn, sơn và véc ni thải có dung môi hữu cơ hoặc TPNH 08 01 02 ( Bùn)
7 - Bùn thải có thành phần nguy hại từ HTXL nước thải công nghiệp khác 12 06 05 ( Bùn )
8 - Dung môi và hỗn hợp dung môi thải khác 17 08 03 ( lỏng)
9 - Chất kết dính, chất bịt kín thải có dung môi hữu cơ hoặc TPNH 08 03 01( Rắn)
10 - Pin, ắc quy chì thải 19 06 01( Rắn)
11 - Mực in thải có thành phần nguy hại 08 02 01 ( Rắn)
12 - Hộp mực in thải có chứa TPNH 08 02 04 ( Rắn)
13 - Các loại dầu động cơ, hộp số và bôi trơn thải 17 02 04 ( lỏng)
14 - Dầu thủy lực tổng hơp thải 17 01 06 ( lỏng)
15 - Chất thải có chứa tác nhân lây nhiễm 13 01 01 ( Rắn)
16 - Bao bì mền thải 18 01 01 ( Rắn)
17 - Than hoạt tính 19 12 02( Rắn)</t>
  </si>
  <si>
    <t>13/07/2026</t>
  </si>
  <si>
    <t>Số 06 - 08, Đường số 12, KCN Vsip II-A, Phường Vĩnh Tân, Tp HCM</t>
  </si>
  <si>
    <t>Thùng nhỏ
Thùng 3.5T
Cẩu nhỏ
Cẩu lớn</t>
  </si>
  <si>
    <t>Đường CN11, KCN Tân Bình, P Vĩnh Tân, TP HCM</t>
  </si>
  <si>
    <t>Thùng lớn
Ép nhỏ</t>
  </si>
  <si>
    <t>CÔNG TY TNHH SB TECH</t>
  </si>
  <si>
    <t>TĐ 250, TBĐS 09, Khu phố Ông Đông, Phường Tân Hiệp, Tp HCM</t>
  </si>
  <si>
    <t>1 - Bao bì đựng hóa chất, thùng đựng dầu nhớt 18 01 01(rắn)
2 - Giẻ lau dính dầu nhớt 18 02 01(rắn)
3 - Dung môi thải 17 08 03(lỏng)
4 - Dầu nhớt thải 17 02 04(lỏng)
5 - Bóng đèn huỳnh quang thải 16 01 06(rắn)
6 - Hộp mực in 08 02 04(rắn)
7 - Pin, ắc quy chì thải 19 06 01(rắn)
8 - Mực in thải 08 02 01(rắn)</t>
  </si>
  <si>
    <t>16/07/2026</t>
  </si>
  <si>
    <t>CÔNG TY TNHH KỸ NGHỆ LONGHI (VIETNAM)</t>
  </si>
  <si>
    <t>Số 8B, Đường số 18, KCN Vsip II -A, Phường Vĩnh Tân, Tp HCM</t>
  </si>
  <si>
    <t xml:space="preserve">Rác công nghiệp: nilon, dây đai, mút xốp, gỗ vụn, giấy vụn, nhựa thải, bột nhựa </t>
  </si>
  <si>
    <t>Cẩu nhỏ mang 2 bồn cắt bành</t>
  </si>
  <si>
    <t>Cẩu nhỏ mang 4 bành</t>
  </si>
  <si>
    <t>CÔNG TY TNHH EVER TECH PLASTIC VIỆT NAM</t>
  </si>
  <si>
    <t>Khu phố Mỹ Hiệp, Phường Tân Đông Hiệp, Thành phố Hồ Chí Minh</t>
  </si>
  <si>
    <t>1 - Bóng đèn huỳnh quang (rắn) 16 01 06
2 - Giẻ lau dính dầu nhớt, bột màu, mỡ (rắn) 18 02 01
3 - Pin Ni-Cd thải (rắn) 19 06 01
4 - Bao bì, bọc nylon lẫn dầu nhớt thải, dung môi (rắn) 18 01 01
5 - Thùng đựng kim loại dầu nhớt thải, dung môi (rắn)18 01 02
6 - Thùng bao bì, can đựng bột màu bằng composit (rắn) 18 01 04
7 - Dung môi chất tẩy rửa thải (lỏng) 17 08 03
8 - Dầu chạy máy phóng điện (lỏng) 17 02 03
9 - Rác y tế (bông băng) (rắn) 13 01 01
10 - Mặt sắt, phôi thải có dính dầu nhớt (rắn) 07 03 11
11 - Mực in12 - Mực in 08 02 04 08 02 04
12 - Ắc quy chì thải (rắn) 19 06 01
13 - Bùn thải từ hệ thống xử lý nước thải (bùn) 12 06 05
14 - Bóng đèn led thải (rắn) 16 01 13</t>
  </si>
  <si>
    <t>14/07/2026</t>
  </si>
  <si>
    <t>02/07/2028</t>
  </si>
  <si>
    <t>CHI NHÁNH CÔNG TY TNHH EVER TECH PLASTIC VIỆT NAM</t>
  </si>
  <si>
    <t>Khu phố Phước Hải, Phường Tân Khánh, Thành phố Hồ Chí Minh</t>
  </si>
  <si>
    <t xml:space="preserve">Rác công nghiệp: 
1 - Giấy vụn, nylon
2 - Pallet
3 - Bao bì chứa hạt nhựa bị rách, hư hỏng
4 - Giấy carton 
5- Nhựa phế thải (hàng bị lỗi có nhiều màu)
6 - Kính vở
7 - Dầu ăn thải
8 - Bùn thải từ bể tự hoại
</t>
  </si>
  <si>
    <t>Thùng nhỏ
Bồn vàng</t>
  </si>
  <si>
    <t>7 Ngưng HĐ 20/07/2026</t>
  </si>
  <si>
    <t>5 Ngưng HĐ 20/07/2026</t>
  </si>
  <si>
    <t>Ngưng HĐ 20/07/2026</t>
  </si>
  <si>
    <t>3 Ngưng HĐ 20/07/2026</t>
  </si>
  <si>
    <t>CÔNG TY TNHH MP LAND</t>
  </si>
  <si>
    <t>1 - Giẻ lau và bao tay dính dầu nhớt, mực in, hóa chất (rắn) 18 02 01
2 - Bóng đèn huỳnh quang thải (rắn) 16 01 06
3 - Dầu nhớt thải (lỏng) 17 02 04
4 - Bao bì mềm đựng hóa chất xử lý nước thải (rắn) 18 01 01
5 - Bao bì nhựa cứng (đã chứa chất thải ra là CTNH) (rắn) 18 01 03
6 - Bao bì kim loại (đã chứa chất thải ra là CTNH) (rắn) 18 01 02
7 - Pin, ắc quy chì thải (rắn) 19 06 01
8 - Nước thải có TPNH (lỏng) 19 10 01</t>
  </si>
  <si>
    <t>Chi nhánh 1 - Công Ty TNHH NP Land (Số 21, Đường Số 3, KCN Vsip II, Khu Liên Hợp Công Nghiệp - Dịch Vụ - Đô Thị Bình Dương, Phường Bình Dương, Tp HCM</t>
  </si>
  <si>
    <t>23/07/2026</t>
  </si>
  <si>
    <t>20/07/2028</t>
  </si>
  <si>
    <t>Nilon, giấy vụn, nhựa thải, mút xốp, dây đai, vải vụn, gỗ vụn, giấy nhám</t>
  </si>
  <si>
    <t>Cẩu nhỏ
Cẩu lớn
Thùng vừa</t>
  </si>
  <si>
    <t>CÔNG TY CỔ PHẦN DƯỢC PHẨM OPC
74.001.803.T</t>
  </si>
  <si>
    <r>
      <t>Chi Nhánh Công ty CP Dược Phẩm OPC Tị Bình Dương - Nhà Máy Dược Phẩm OPC (09/ĐX 04 - TH, Khu phố</t>
    </r>
    <r>
      <rPr>
        <b/>
        <sz val="14"/>
        <rFont val="Times New Roman"/>
        <family val="1"/>
      </rPr>
      <t xml:space="preserve"> Tân Hóa, Phường Tân Vĩnh Hiệp, Tp HCM)</t>
    </r>
  </si>
  <si>
    <t>CÔNG TY CỔ PHẦN DƯỢC PHẨM OPC</t>
  </si>
  <si>
    <t>CÔNG TY TNHH MTV THỰC PHẨM Á CHÂU III</t>
  </si>
  <si>
    <t>1 - Xỉ than thải sau khi đốt lò hơi, xương gà thải, gói súp lỗi, vỏ bao PE, vỏ giấy, thùng
2 - Bột súp mì gói hỏng
3 - Bông gòn dính bụi nhà xưởng
4 - Bùn thải công nghiệp từ hệ thống xử lý nước thải từ quá trình sản xuất thực phẩm
5 - Tắm thạch cao, xi măng</t>
  </si>
  <si>
    <t>1 - Mùn cưa, dăm bào, đầu mẫu gỗ thừa và gỗ dán vụn có chứa thành phần nguy hại 09 01 01 (rắn)
2 - Chất hấp thụ, vật liệu lọc (bao gồm cả vật liệu lọc dầu chưa nêu tại các mã khác), giẻ lau, vải bảo vệ thải bị nhiễm thành phần nguy hại 18 02 01 (rắn)
3 - Nước thải lẩn dầu 12 07 03 (lỏng)
4 - Mạt sắt lẫn dầu 11 04 01 (rắn)</t>
  </si>
  <si>
    <t>CÔNG TY TNHH SƠN LONG BẢO VIỆT NAM
74,001,265,T</t>
  </si>
  <si>
    <t>CÔNG TY CỔ PHẦN UNIBEN</t>
  </si>
  <si>
    <t>Số 32, Đường số 30, KCN Vsip II-A, Phường Vĩnh Tân, Tp HCM</t>
  </si>
  <si>
    <t>3 Ngưng HĐ 01/08/2026</t>
  </si>
  <si>
    <t>Ngưng HĐ 28/07/2026</t>
  </si>
  <si>
    <t>5 Ngưng HĐ 28/07/2026</t>
  </si>
  <si>
    <t>4 Ngưng HĐ 28/07/2026</t>
  </si>
  <si>
    <t>1- Chất hấp thụ, vật liệu lọc, giẻ lau , vải bảo vệ thải bị nhiễm các thành phần nguy hại 18 02 01 (rắn)
2- Hộp mực in 08 02 04 (rắn)
3- Bao bì kim loại cứng (đã chứa chất khỉ thải ra là CTNH) 18 01 02 (rắn)
4- Bao bì nhựa cứng (đã chứa chất khỉ thải ra là CTNH) 18 01 03 (rắn)
5- Cặn sơn, sơn và véc ni (loại có dung môi hữu cơ hoặc các thành phần nguy hại khác trong nguyên liệu sản xuất) 08 01 01 (rắn)
6- Keo thải 08 03 01 (lỏng)
7- Mùn cưa, phôi bào, dầu mẫu, gỗ thừa, ván và gỗ dán vụn có các thành phần nguy hại 09 01 01 (rắn)
8- PU thải 08 04 01 (rắn)
9- Bao bì mềm (đã chứa chất khỉ thải ra là CTNH) 18 01 01 (rắn)
10- Dầu thủy lực tổng hợp thải 17 01 06 (lỏng)
11- Dầu động cơ, hộp số và bôi trơn tổng hợp thải 17 02 03 (lỏng)
12-Kim, bông băng, gạc y tế có chứa các tác nhân lây nhiễm 13 01 01 (rắn)
13- Vật thể dùng để mài đã qua sử dụng có các thành phần nguy hại (đá mài, giấy ráp) 07 03 10 (rắn)
14- Dung môi thải 17 08 03 (lỏng)
15- Bóng đèn huỳnh quang và các loại thủy tinh hoạt tính thải 16 01 06 (rắn)
16- Thiết bị điện tử thải 19 02 05 (rắn)
17- Nước lẫn dầu từ thiết bị tách dầu/nước 17 05 05 (lỏng)
18- Pin, ắc quy chì thải 19 06 01 (rắn)
19- Vật liệu mài có chứa amiang 11 06 01 (rắn)
20- Các vật liệu mài dạng hạt thải có các thành phần nguy hại (cát, bột mài) 07 03 08 (rắn)
21 - Than hoạt tính 19 12 03
22 - Pin mặt trời (tấm quang năng thải) 19 02 08</t>
  </si>
  <si>
    <t>17/09/2026</t>
  </si>
  <si>
    <t>1 - Hộp mực in thải có các thành phần nguy hại 08 02 04 (rắn)
2 - Bóng đèn huỳnh quang và các loại thủy tinh hoạt tính thải 16 01 06 (rắn)
3 - Các loại dầu động cơ, hộp số và bôi trơn tổng hợp thải 17 02 04 (rắn)
4 - Bao bì mền thải 18 01 01 (rắn)
5 - Bao bì cứng thải bằng kim loại, bao gồm cả bình chứa áp suất đảm bảo rỗng hoàn toàn 18 01 02 (rắn)
6 - Bao bì cứng thải bằng nhựa 18 01 03 (rắn)
7 - Chất hấp thụ, vật liệu lọc (bao gồm cả vật liệu lọc dầu chưa nêu tại các mã khác), giẻ lau, vải bảo vệ thải bị nhiễm TPNH 18 02 01 (rắn)
8 - Hóa chất và hỗn hợp hóa chất phòng thí nghiệm thải có các TPNH 19 05 02 (rắn/lỏng)
9 - Pin, ắc quy chì thải 19 06 01 (rắn)
10 - Các loại chất thải khác có các thành phần nguy hại vô cơ và hữu cơ 19 12 02 (rắn)
11 - Bùn thải có các thành phần nguy hại từ quá trình xử lý nước thải công nghiệp khác 12 06 05 (bùn)</t>
  </si>
  <si>
    <t>05/08/2026</t>
  </si>
  <si>
    <t>31/07/2028</t>
  </si>
  <si>
    <t>1 - Nylon, dây đai, mút xốp, gỗ vụn, giấy vụn, vải vụn, sản phẩm hư hỏng (rắn)
2 - Bùn thải từ hệ thống xử lý nước thải sản xuất thực phẩm (rắn)
3 - Hương liệu hủy (lỏng)
4 - Hỗn hợp dầu mỡ thải và chất béo (dầu ăn, mỡ động vật), từ quá trình phân tách dầu/nước</t>
  </si>
  <si>
    <t>1 ép nhỏ</t>
  </si>
  <si>
    <t>1 ép nhỏ
Cẩu lớn
Bồn lớn</t>
  </si>
  <si>
    <t>1 - Nilon, dây đai, mút xốp, bao cát, giấy, nhựa không dính thành phần nguy hại
2 - Bùn từ hệ thống xử lý nước thải của quá trình sản xuất thuốc</t>
  </si>
  <si>
    <t>Ép tuyến
Cẩu nhỏ
Cẩu lớn</t>
  </si>
  <si>
    <t xml:space="preserve">1 - Các loại dịch thải từ quá trình chiết tách (mother liquor), dung dịch tảy rữa và dung môi hữu cơ khác 03 05 03 (lỏng)
2 - Chất thải rắn có các TPNH 03 05 09 (rắn)
3 - Hộp mực in thải có chứa các TPNH 08 02 04 (rắn)
4 - Các chất thải lây nhiễm (bao gồm cả chất thải sắc nhọn) 13 01 01 (rắn)
5 - Dược phẩm gây độc tế bào (cytotoxic và cytostatic) thải 13 01 03 (rắn)
6 - Bóng đèn huỳnh quang và các loại thủy tinh hoạt tính thải 16 01 06 (rắn)
7 - Các loại dầu động cơ, hộp số và bôi trơn thải khác 17 02 04 (lỏng)
8 - Bao bì mềm thải 18 01 01 (Rắn)
9 - Bao bì cứng thải bằng kim loại bao gồm cả bình chứa áp suất bảo đảm rỗng hoàn toàn 18 01 02 (rắn)
10 - Bao bì cứng thải bằng nhựa 18 01 03 (rắn)
11 - Chất hấp thụ, vật liệu lọc (bao gồm cả vật liệu lọc dầu chưa nêu tại các mã khác), giẻ lau , vải bảo vệ thải bị nhiễm các thành phần nguy hại 18 02 01 (rắn)
12 - Pin, ắc quy chì thải 19 06 01 (rắn)
</t>
  </si>
  <si>
    <t>816
Thùng nhỏ
Ép nhỏ
Cẩu lớn
Bồn lớn</t>
  </si>
  <si>
    <t>20/09/2028</t>
  </si>
  <si>
    <t>2 - Tấm xi măng, tấm thạch cao thải bỏ
3 - Tấm panel bằng xốp
4 - Vỏ dây điện</t>
  </si>
  <si>
    <t>PLHĐ 06/08/2026</t>
  </si>
  <si>
    <t>CÔNG TY TNHH CHẾ BIẾN GỖ NHỰA LÂM THÀNH
74.001.293.T</t>
  </si>
  <si>
    <t>TĐS 538, TBĐS 13, Đường ĐX 03, Tổ 8, Khu phố Tân Hóa, Phường Tân Khánh, Tp HCM</t>
  </si>
  <si>
    <t xml:space="preserve">1 - Bao bì, thùng đựng dầu nhớt, keo, dung môi, sơn thải 18 01 01 (rắn)
2 - Giẻ lau, găng tay dính dầu nhớt, dung môi, sơn thải 18 02 01 (rắn)
3 - Keo thải 08 03 01 (lỏng)
4 - Dầu nhớt thải 17 02 04 (lỏng)
5 - Sơn hỏng trong pha chế thải 08 01 01 (lỏng)
6 - Bóng đèn huỳnh quang 16 01 06 (rắn)
7 - Hộp mực in, mực máy photocopy thải 08 02 04 (rắn)
8 - Pin, ắc quy chì thải 19 06 01 (rắn)
9 - Cặn sơn thải 08 01 02 (bùn)
10 - Dung môi thải 17 08 03 (lỏng)
</t>
  </si>
  <si>
    <t>10/08/2026</t>
  </si>
  <si>
    <t>Thùng tuyến
Thùng nhỏ</t>
  </si>
  <si>
    <t>Thùng tuyến
Thùng nhỏ
Cẩu nhỏ</t>
  </si>
  <si>
    <t>CÔNG TY CỔ PHẦN CÔNG NGHỆ &amp; TRUYỀN THÔNG VIỆT NAM</t>
  </si>
  <si>
    <t>Địa chỉ thu gom: Kho Phú Chánh - Công Ty Cổ Phần Công Nghệ &amp; Truyền Thông Việt Nam (Địa chỉ: Đường số 96, Phường Tân Hiệp, Tp HCM)</t>
  </si>
  <si>
    <t>01 - Nilon, carton, giấy vụn, mút xốp, dây đai, mica, ván ép, gỗ vụn, dây điện, dây cáp viễn thông, bạt nhựa, bao bì, vải lau không dính thành phần nguy hại.
02 - Các loại vật liệu cách nhiệt, kính vỡ</t>
  </si>
  <si>
    <t>11/08/2026</t>
  </si>
  <si>
    <t>CÔNG TY TNHH MỘT THÀNH VIÊN IN ẤN THÀNH HOA</t>
  </si>
  <si>
    <t>Địa chỉ thu gom: Số 07, Đường số 14, KCN VN Singapor II A, Phường Vĩnh Tân, Tp HCM</t>
  </si>
  <si>
    <t xml:space="preserve">1 - Mực in (loại có các TPNH trong nguyên liệu sản xuất) thải 08 02 01 (Lỏng)
2 - Hộp mực in thải có các TPNH 08 02 04 (Rắn)
3 - Bóng đèn huỳnh quang và các loại thủy tinh hoạt tính thải 16 01 06 (Rắn)
4 -Các loại dầu đông cơ, hộp số và bôn trơn thải khác 17 02 04 (Lỏng)
5 - Các loại dung môi và hỗn hợp dung môi thải khác 17 08 03 (Lỏng)
6 - Bao bì mền (đã chứa chất khi thải ra là CTNH) thải 18 01 01 (Rắn)
7 - Bao bì kim loại cứng (đã chứa chất khi thải ra là CTNH, hoặc chứa áp suất chưa bảo đãm rỗng hoặc có lớp lót rắn nguy hại như amiang) thải 18 01 02 (rắn)
8 - Bao bì nhựa cứng (đã chứa chất khi thải ra là CTNH) thải 18 01 03 (rắn)
9 - Chất hấp thụ, vật liệu lọc (bao gồm cả vật liệu lọc dầu chưa nêu tại các mã khác), giẻ lau, vải bảo vệ thải bị nhiễm các TPNH 18 02 01 (Rắn)
10 - Pin, ắc quy chì thải 19 06 01 (Rắn)
11 - Nước rửa có các TPNH 19 10 01 (lỏng)
12- Nước thải từ quá trình vệ sinh bồn pha keo 19 12 04 (lỏng)
</t>
  </si>
  <si>
    <t>30/08/2027</t>
  </si>
  <si>
    <t>CÔNG TY TNHH ĐỒ GỖ LẬP ĐẠT
74,002,657,T</t>
  </si>
  <si>
    <t>Số 1110, Khu phố Bình Hòa 1, Phường Tân Khánh, Tp HCM</t>
  </si>
  <si>
    <t>1 - Bóng đèn huỳnh quang thải 16 01 06 (rắn)
2 - Giẻ lau dính dầu nhớt 18 02 01 (rắn)
3 - Hộp mức in, photo thải 08 02 04 (rắn)
4 - Màng hấp thụ bụi sơn 18 02 01 (rắn)
5 - Bao bì đựng dầu nhớt, đưng keo bằng nhựa thải 18 01 03 (rắn)
6 - Bao bì đựng dung môi, sơn, hóa chất bằng kim loại 18 01 02 (rắn)</t>
  </si>
  <si>
    <t>12/08/2026</t>
  </si>
  <si>
    <t>CÔNG TY TNHH BTN METAL</t>
  </si>
  <si>
    <t>Lô 10, Đường N4, KCN Nam TU, Phường Tân Hiệp, Tp HCM</t>
  </si>
  <si>
    <t>1 - Dầu tổng hợp thải từ quá trình gia công tạo hình 07 03 05 (lỏng)
2 - Bóng đèn led thải 16 01 13 (rắn)
3 - Dầu động cơ, hộp số và bôi trơn tông hợp thải 17 02 03 (lỏng)
4 - Bao bì mềm thải (đã chứa chất khi thải ra là CTNH) thải 18 01 01 (rắn)
5 - Bao bì kim loại cứng (đã chứa chất khi thải ra là CTNH) thải 18 01 02 (rắn)
6 - Bao bì nhựa cứng (đã chứa chất khi thải ra là CTNH) thải 18 01 03 (rắn)
7 - Chất hấp thụ, vật liệu lọc (bao gồm cả vật liệu lọc dầu chưa nêu tại các mã khác), giẻ lau, vải bảo vệ thải bị nhiễm các TPNH 18 02 01 (rắn)
8 - Ắc quy chì thải 19 06 01 (rắn)
9 - Nước thải có các TPNH 19 10 01 (lỏng)</t>
  </si>
  <si>
    <t>Ép lớn
Thùng vừa
Bồn nhỏ</t>
  </si>
  <si>
    <t>CÔNG TY TNHH JAKOB SÀI GÒN</t>
  </si>
  <si>
    <t>Số 26, Đường số 26, KCN Vsip II-A, Phường Vĩnh Tân, Tp HCM</t>
  </si>
  <si>
    <t>1 - Nhũ tương, dung dịch thải chứa thành phần nguy hại (hóa chất SS và xà bông Omo) 07 03 04 (lỏng)
2 - Bazo inox dính dầu nhớt 11 04 02 (rắn)
3 - Giẻ lau dính dầu nhớt 18 02 01 (rắn)
4 - Dầu nhớt thải 17 02 04 (lỏng)
5 - Thùng nhựa chứa hóa chất 18 01 03 (rắn)
6 - Thùng đựng dầu nhớt bằng kim loại 18 01 02 (rắn)
7 - Bao bì mền thải 18 01 01 (rắn)
8 - Bóng đèn thủy ngân thải 16 01 06 (rắn)
9 - Pin, ắc quy chì thải 19 06 01 (rắn)
10 - Hộp mực in, photo thải 08 02 04 (rắn)
11 - Bùn thải lẩn dầu nhớt, hóa chất 07 03 07 (rắn)
12 - Bụi cát từ quá trình mài, đánh bóng sản phẩm 07 01 04 (rắn)
13 - Axit thải 07 01 01 (lỏng)
14- Than hoạt tính thải 02 11 02 (rắn)</t>
  </si>
  <si>
    <t>Thùng vừa
Cẩu lớn</t>
  </si>
  <si>
    <t>TĐS 1076, TBĐS 8, Đường DT747B, Tổ 2, Khu phố Phước Hải, Phường Tân Khánh, Tp HCM</t>
  </si>
  <si>
    <r>
      <t xml:space="preserve">Số 8 đại lô hữu nghị, KCN VN - Singapore, Phường Bình Hòa, TP Thuận An, Tỉnh Bình Dương
</t>
    </r>
    <r>
      <rPr>
        <b/>
        <sz val="14"/>
        <rFont val="Times New Roman"/>
        <family val="1"/>
      </rPr>
      <t>địa chỉ thu gom: 
Trạm xử lý nước thải KDC Suối Tre: tại KDC Suổi Tre, Phường Vĩnh Tân, Tp HCM</t>
    </r>
  </si>
  <si>
    <t>1 - Bóng đèn huỳnh quang thải ;  16 01 06
2 - Pin, ắc quy chì thải ;  19 06 01
3 - Dầu động cơ, hộp số và bôi trơn thải ; 17 02 02 
4 - Dầu bôi trơn động cơ thải 17 02 04
5 - Hóa chất phòng thí nghiệm ;19 05 02
6 - Bao bì mền thải 18 01 01
7 - Chất hấp thụ, vật liệu lọc Giẻ lau dính dầu nhớt thải ; 18 02 01
8 - Hộp mực in thải ; 08 02 04
9 - Bao bì cứng bằng nhựa 18 01 03 ;
10 - Các linh kiện, thiết bị điện tử thải (rắn) ; 19 02 05
11 - Dầu lẩn nước thải từ thiết bị tách dầu nhớt 17 05 04
12 - Các thiết bị, linh kiện điện tử thải hoặc các thiết bị điẹn tử (mô tơ lẫn dầu thải) 16 01 13 (rắn)
13 -  Axit sunfuric thải 02 01 01
14 - Dầu cách nhiệt thải 17 03 04
15- Bao bì đựng hóa chất bảo vệ thực vật 14 01 05 (rắn)
16 - Bùn thải có các TPNH từ hệ thống xử lý nước thải công nghiệp 12 06 05 (bùn)
17 - Bao bì cứng bằng kim loại dính TPNH 18 01 02 (rắn)</t>
  </si>
  <si>
    <r>
      <t xml:space="preserve">Số 8 đại lô hữu nghị, KCN VN - Singapore, Phường Bình Hòa, TP Thuận An, Tỉnh Bình Dương
</t>
    </r>
    <r>
      <rPr>
        <b/>
        <sz val="14"/>
        <rFont val="Times New Roman"/>
        <family val="1"/>
      </rPr>
      <t>địa chỉ thu gom: 
Trạm xử lý nước thải KDC Ấp 1: tại KDC Ấp 1, Phường Vĩnh Tân, Tp HCM</t>
    </r>
  </si>
  <si>
    <t>CÔNG TY TNHH EMB TOÀN THỊNH</t>
  </si>
  <si>
    <t>PYC 15/08/2026</t>
  </si>
  <si>
    <t>ĐC2: Lô B16, Đường D4, Khu công nghiệp Đất Cuốc – Khu A, Xã Bắc Tân Uyên, Thành Phố Hồ Chí Minh, Việt Nam</t>
  </si>
  <si>
    <t>CÔNG TY TNHH URC VIỆT NAM</t>
  </si>
  <si>
    <t>Số 22, Đường số 29, KCN Vsip IIA, Phường Vĩnh Tân, Tp HCM</t>
  </si>
  <si>
    <t>1 - Bao bì kim loại cứng dính hóa chất 18 01 02 (rắn)
2 - Bao bì, thùng nhựa dinh hóa chất 18 01 03 (rắn)
3 - Chai lọ dính hóa chất nguy hại 18 01 04 (rắn)
4 - Dầu thủy lực thải 17 01 06 (lỏng)
5 - Dầu nhớt thải 17 02 04 (lỏng)
6 - Giẻ lau dính dầu nhớt 18 02 01 (rắn)
7 - Pin, ắc quy chì thải 19 06 01 (rắn)
8 - Bóng đèn huỳnh quang thải 16 01 06 (rắn)
9 - Chất thải y tế lây nhiễm 13 01 01 (rắn)
10 - Thiết bị linh kiện điện tử 19 02 05 (rắn)
11 - Axit thải (Hóa chất) 07 01 01 (lỏng)
12 - Bông cách nhiệt 11 06 01 (rắn)
13 - Mực in, hộp mực in thải 08 02 04 (rắn)
14 - Bùn thải từ HTXL nước thải 12 06 05 (bùn)
15 - Bùn lỏng từ HTXL nước thải 12 06 05 (bùn/lỏng)
16 - Hóa chất vô cơ thải bao gồm hoặc chứa các TPNH 19 05 03 (rắn)</t>
  </si>
  <si>
    <t>1 - Nước thải cà phê phát sinh
2 - Bùn thải không nguy hại từ HTXL nước thải NM cà phê</t>
  </si>
  <si>
    <t>31/03/2027</t>
  </si>
  <si>
    <t>Cẩu lớn
Thùng lớn
Hooklift
Ép lớn
Bồn nhỏ</t>
  </si>
  <si>
    <t>1 - Nước ngọt, nước C2</t>
  </si>
  <si>
    <t>Bồn xanh</t>
  </si>
  <si>
    <t>1 - Rác công nghiệp không tái chế : Băng tải vải/da, thanh điều hướng, pallet gỗ vụn …
2 - Rác công nghiệp (không dính TPNH): Bao nylon dính bột kem, keo thải, vỏ kẹo bánh, nhãn trà, hộp giấy, chai nhựa, dây nylon, dây đai, ly nhựa, bao đựng trà, bột kem hủy, bột cà phê, can nhựa, kẹo hủy, nhân kẹo, váng dầu, tấm lọc AHU, cục lọc RO, UF
3 - Rác xây dựng (xà bần)
4 - Kính, kính cường lực bỏ
5 - Hạt nhựa</t>
  </si>
  <si>
    <t>1 - Nguyên vật liệu, trà C2, bánh snack, bánh quy, kẹo socola lỗi</t>
  </si>
  <si>
    <t>5 Ngưng HĐ 24/08/2026</t>
  </si>
  <si>
    <t>4 Ngưng HĐ 24/08/2026</t>
  </si>
  <si>
    <t>Ngưng HĐ 24/08/2026</t>
  </si>
  <si>
    <t>7 Nam báo Ngưng 27/08/2026</t>
  </si>
  <si>
    <t>TĐS 1498, TBĐS 17, Đường Tân Hiệp 07, Khu phố Ông Đông, Phường Tân Hiệp, TP HCM</t>
  </si>
  <si>
    <t>PYC 26/08/2026</t>
  </si>
  <si>
    <t>2 Thành báo ngưng 01/09</t>
  </si>
  <si>
    <t>05/09/2026</t>
  </si>
  <si>
    <t>31/05/2027</t>
  </si>
  <si>
    <t>7 Nam báo ngưng 05/09/2026</t>
  </si>
  <si>
    <t>4 Ngưng HD 25/08/2026</t>
  </si>
  <si>
    <t>5 Ngưng HD 25/08/2026</t>
  </si>
  <si>
    <t>Ngưng HD 25/08/2026</t>
  </si>
  <si>
    <t>6 Ngưng HD 28/08/2026</t>
  </si>
  <si>
    <t>CÔNG TY TNHH CHẾ BIẾN GỖ HÂN NGUYÊN KÝ
74.001.632</t>
  </si>
  <si>
    <t>Thu gom tại: thửa đất số 224, tờ bản đồ số 38, Ấp Tân Lợi, Xã Bắc Tân Uyên, Tp HCM</t>
  </si>
  <si>
    <t>1 - Sơn thải 08 01 01 (lỏng)
2 - Bùn thải lẫn sơn, dung môi thải 08 01 02 (bùn)
3 - Hộp mực in thải 08 02 04 (rắn)
4 - Keo thải 08 03 01 (rắn)
5 - Bóng đèn huỳnh quang thải 16 01 06 (rắn)
6 - Dầu nhớt thải 17 02 04 (lỏng)
7 - Dung môi thải 17 08 03 (lỏng)
8 - Giẻ lau dính dầu nhớt, sơn, keo, dung môi, màng thủy tinh dính TPNH 18 02 01 (rắn)
9 -  Pin, ắc quy chì thải 19 06 01 (rắn)
10 - Bao bì mềm thải 18 01 01 (rắn)
11 - Bao bì cứng thải bằng kim loại 18 01 02 (rắn)
12 - Bao bì cứng thải bằng nhựa 18 01 03 (rắn)</t>
  </si>
  <si>
    <t>20/08/2028</t>
  </si>
  <si>
    <t>07/09/2026</t>
  </si>
  <si>
    <t>CÔNG TY TNHH CHẾ BIẾN GỖ HÂN NGUYÊN KÝ</t>
  </si>
  <si>
    <t>Bao bì giấy, nylon, dây đai, mút vụn</t>
  </si>
  <si>
    <t>1 - Keo thải 08 03 01 (rắn/lỏng)
2 - Bóng đèn huỳnh quang thải 16 01 06 (rắn)</t>
  </si>
  <si>
    <t>1 lần/1 tháng</t>
  </si>
  <si>
    <t>08/09/2026</t>
  </si>
  <si>
    <t>CÔNG TY TNHH THỰC PHẨM PEPSICO VIỆT NAM</t>
  </si>
  <si>
    <t>Số 3-4-5, Lô CN2, Đường số 2, KCN Sóng Thần III, Phường Bình Dương, Tp HCM</t>
  </si>
  <si>
    <t>31/08/2028</t>
  </si>
  <si>
    <t>CÔNG TY TNHH THỰC PHẨM PEPSICO VIỆT NAM
74.000.246.T</t>
  </si>
  <si>
    <t xml:space="preserve">1 - Dầu nhớt động cơ thải 17 02 03 (lỏng)
2 - Bóng đèn huỳnh quang thải 16 01 06 (rắn)
3 - Chất hấp thụ, vật liệu lọc (bao gồm vật liệu lọc dầu chưa nêu tại các mã khác) giẻ lau, vải bảo vệ thải bị nhiễm các thành phần nguy hại 18 02 01 (rắn)
4 - Bao bì chứa hóa chất thải bằng kim loại 18 01 02 (rắn)
5 - Bao bì chứa hóa chất thải bằng nhựa 18 01 03 (rắn)
6 - Bao bì chứa hóa chất thải bằng vật liệu khác (Composit ...) 18 01 04 (rắn)
7 - Mực in thải có các thành phần nguy hại 08 02 04 (rắn)
8 - Chất thải y tế 13 01 01 (rắn)
9 - Pin, ắc quy chì thải 19 06 01 (rắn)
10 - Cặn sơn, sơn và véc ni thải có dung môi hữu cơ hoặc các thành phần nguy hại khác 08 01 01 (rắn)
11 - Hóa chất và hỗn hơp hóa chất phòng thí nghiệm có thành phần nguy hại 19 05 02 (rắn)
12 - Vật liệu cách nhiệt có amiang 11 06 01 (rắn)
</t>
  </si>
  <si>
    <t>1 thùng nhỏ</t>
  </si>
  <si>
    <t>01 - Bóng đèn huỳnh quang và các loại thủy tinh hoạt tính thải Rắn 16 01 06
02 - Chất hấp thụ, vật liệu lọc (bao gồm cả vật liệu lọc dầu), giẻ lau, vải bảo vệ thải bị nhiễm thành phần nguy hại Rắn 18 02 01
03 - Các loại dầu động cơ, hộp số và bôi trơn thải khác Lỏng 17 02 04
04 - Pin, ắc quy chì thải Rắn 19 06 01
05 - Bao bì cứng thải bằng kim loại bao gồm cả bình chứa áp suất bảo đảm rỗng hoàn toàn Rắn 18 01 02
06 - Bao bì cứng thải bằng nhựa Rắn 18 01 03
07 - Bao bì mềm thải Rắn 18 01 01
08 - Các loại chất hấp thụ đã qua sử dụng và bã lọc khác Rắn 03 02 07
09 - Chất thải lây nhiễm (bao gồm cả chất thải sắc nhọn) Rắn 13 01 01
10 - Hộp mực in, photo thải Rắn 08 02 04
11 - Hóa chất vô cơ thải bao gồm hoặc có thành phần nguy hại Rắn 19 05 03
12 - Các thiết bị, bộ phận, linh kiện điện tử thải Rắn 19 02 06
13 - Chất phụ gia thải có các TPNH 03 02 09
14 - Cặn sơn, sơn và vẹc ni thải có dung môi hữu cơ hoặc các thành phần nguy hại khác Rắn/ Lỏng 08 01 01
15 - Váng dầu mỡ thải và chất béo độc hại từ quá trình phân tách dầu/nước Rắn/ Lỏng 12 06 04
16 - Các loại chất thải khác có các TPNH vô cơ và hữu cơ Rắn/ Lỏng 19 12 03</t>
  </si>
  <si>
    <t xml:space="preserve">1 - Thùng chứa dung môi, sơn, keo; 18 01 02
2 -  Nhớt thải; 17 02 03
3 -  Cặn sơn vớt từ bồn xử lý bằng màng nước; 08 01 01
4 -  Giẻ lau;  18 02 01
5 - Bóng đèn neon.16 01 06
6 - Hộp mực in 08 02 04
7 - Keo thải 08 03 01 (lỏng)
8 - Dung môi thải 17 08 03
9 - Thùng nhựa nhựa dính thành phần nguy hại 18 01 03
10 - Bùn thải từ hệ thống xử lý nước thải 12 06 05
</t>
  </si>
  <si>
    <t>1-Bóng đèn huỳnh quang và các loại thủy tinh hoạt tính thải 16 01 06 (rắn)
2-Bao bì cứng thải bằng kim loại dính dầu nhớt, keo 18 01 02 (rắn)
3-Bao bì cứng thải bằng nhựa dính dầu nhớt, keo 18 01 03 (rắn)
4-Chất hấp thụ, vật liệu lọc (bao gồm cả vật liệu lọc dầu chưa nêu tại các mã khác) , giẻ lau , vải bảo vệ thải bị nhiễm các thành phần nguy hại 18 02 01 (rắn)
5-Pin, ắc quy chì thải 16 01 12 (rắn)
6 - Các loại dầu động cơ, hợp số và bôi trơn thải khác 17 02 03
7- Keo thải 08 03 01 (lỏng)
8-Hộp mực in thải có các TPNH 08 02 04 (rắn)
9-Mùn cưa, phôi bào, dầu mẫu, gỗ thừa, ván và gỗ dán vụn có chứa các thành phần nguy hại 09 01 01 (rắn)
10 - Bao bì mềm thải (nhiễm hóa chất) 18 01 01 (rán)</t>
  </si>
  <si>
    <t>1 - Cặn sơn, sơn, vecni thải 08 01 01 (lỏng)
2 - Bùn thải lẩn sơn 08 01 02
3 - Dung môi tẩy rửa và vecni thải 08 01 05
4 - Hộp mực in thải 08 02 04
5 - Bóng đèn huỳnh quang thải 16 01 06
6 - Dầu động cơ, hộp số và bôi trơn tahi3 17 02 03
7 - Các loại dung môi 17 08 03
8 - Bao bì mền thải 18 01 01
9 - Bao bì cứng bằng kim loại 18 01 02 ( ghi số cái)
10 - Chất hấp thụ, giẻ lau 18 02 01
11 - Sản phẩm hu7au4 cơ có các thành phần nguy hại 19 03 02
12 - Pin, ắc quy chì thải 19 05 04
13 - Pin, ắc quy chì thải 19 06 01
14 - Các loại chất thải khác chứa tp nguy hại 19 12 02</t>
  </si>
  <si>
    <t>1 - Bao bì cứng thải bằng kim loại bao gồm cả bình chứa áp suất rỗng hoàn toàn 18 01 02
2 - Chất hấp thụ, vật liệu lọc (bao gồm cả vật liệu lọc dầu chưa nêu tại các mã khác), giẻ lau, vải bảo vệ thải bị nhiễm các TPNH 18 02 01
3 - Bóng đèn huỳnh quang thải và các loại thủy tinh hoạt tính 16 01 06
4 - Pin, ắc quy chì thải 19 06 01
5 - Hộp mực in thải có các thành phần nguy hại 08 02 04
6 - Các loại dầu động cơ, hộp số và bôi trơn thải khác 17 02 04
7 - Bùn thải lẫn sơn hoặc vecni có dung môi hữu cơ hoặc các TPNH khác 08 01 02
8 - Cặn sơn, sơn, vecni thải có các thành phần dung môi hữu cơ hoăc các thành phần nguy hại khác 08 01 01 (lỏng)
9 - Bùn thải từ hệ thống XLNT công nghiệp khác 12 06 05
10 - Bao bì mền 18 01 01
11 - Các loại dung môi và hổn hợp dung môi thải khác 17 08 03
12 - Hóa chất và hỗn hợp hóa chất phòng thí nghiệm thải chứa TPNH 19 05 02</t>
  </si>
  <si>
    <t>20/10/2027 30/09/2026 không gom</t>
  </si>
  <si>
    <t>Nhà xưởng số 1, Lô 2D2, Đường CN7 và CN10, KCN Tân Bình, Phường Vĩnh Tân, TP HCM</t>
  </si>
  <si>
    <t>1 - Bùn mực in 08 02 02 (bùn)
2 - Hộp mực in thải 08 02 04 (rắn)
3 - Keo thải 08 03 01 (rắn/lỏng)
4 - Bóng đèn huỳnh quang thải 16 01 06 (rắn)
5 - Các loại dầu động cơ, hộp số và bôi trơn thải 17 02 04 (lỏng)
6 - Dầu thủy lực tổng hợp thải 17 01 06 (lỏng)
7 - Bao bì cứng thải bằng kim loại 18 01 02 (rắn)
8 - Bao bì cứng thải bằng nhựa 18 01 03 (rắn)
9 - Bao bì mềm thải 18 01 01 (rắn)
10 - Giẻ lau, bao tay dính dầu nhớt, dung môi, sơn 18 02 01 (rắn)
11 - Pin, ắc quy chì thải 19 06 01 (rắn)
12 - Mực in thải 08 02 01 (rắn/lỏng)
13 - Nước thải có TPNH 19 10 01 (lỏng)</t>
  </si>
  <si>
    <t>10/09/2026</t>
  </si>
  <si>
    <t>07/07/2028</t>
  </si>
  <si>
    <t>CÔNG TY TNHH CƯỜNG THỊNH MERAKI</t>
  </si>
  <si>
    <t>TĐS 219, TBĐS 60, Ấp Bình Cơ, Phường Bình Cơ, Tp HCM</t>
  </si>
  <si>
    <t>1 - Cặn sơn, sơn và véc ni thải có dung môi hữu cơ hoặc các TPNH khác 08 01 01 (rắn/lỏng)
2 - Bùn thải lẫn sơn hoặc véc ni có dung môi hữu cơ hoặc các TPNH khác 08 01 02 (bùn)
3 - Hộp mực in thải có chứa các TPNH 08 02 04 (rắn)
4 - Chất kết dính và chất bịt kín thải có chứa dung môi hữu cơ hoặc các TPNH khác 08 03 01 (rắn)
5 - Bóng đèn huỳnh quang và các loại thủy tinh hoạt tính thải 16 01 06 (rắn)
6 - Các loại dầu động cơ, hộp số và bôi trơn thải khác 17 02 04 (lỏng)
7 - Các loại dung môi và hỗn hợp dung môi thải khác 17 08 03 (lỏng)
8 - Bao bì mềm thải 18 01 01 (rắn)
9 - Bao bì cứng thải bằng kim loại bao gồm cả bình chứa áp suất đảm bảo rỗng hoàn toàn 18 01 02 (rắn)
10 - Bao bì cứng thải bằng nhựa 18 01 03 (rắn)
11 - Chất hấp thụ, vật liệu lọc (bao gồm cả vật liệu lọc dầu chưa nêu tại các mã khác), giẻ lau, vải bảo vệ thải bị nhiễm các TPNH 18 02 01 (rắn)
12 - Pin, ắc quy chì thải 19 06 01 (rắn)
13 - Các loại chất thải khác có các TPNH hữu cơ 19 12 02 (rắn)</t>
  </si>
  <si>
    <t>CÔNG TY CỔ PHẦN SẢN XUẤT KINH DOANH XUẤT NHẬP KHẨU MINH TIẾN</t>
  </si>
  <si>
    <t>TĐS 922, TBĐS 47, Tổ 3, Khu phố Bình Chánh Đông,  Phường Tân Hiệp, Tp HCM</t>
  </si>
  <si>
    <t>1 - Sơn thừa thải 08 01 01 (lỏng)
2 - Cặn sơn 08 01 02 (rắn)
3 - Hộp mực in thải 08 02 04 (rắn)
4 - Keo thải 08 03 01 (rắn/lỏng)
5 - Bùn thải có các TPNH từ quá trình xử lý nước thải công nghiệp 12 06 05 (bùn)
6 - Bóng đèn huỳnh quang thải hoặc các loại thủy tinh hoạt tính 16 01 06 (rắn)
7 - Dầu nhớt thải 17 02 04 (lỏng)
8 - Dung môi thải 08 01 0510 (lỏng)
9 - Thùng dính keo, sơn, dung môi, dầu nhớt thải 18 01 01 (rắn)
10 - Giẻ lau dính sơn, dung môi, keo, dầu nhớt thải 18 02 01 (rắn)
11 - Pin, ắc quy chì thải 19 06 01 (rắn)</t>
  </si>
  <si>
    <t>1 - Hàng xì xẹp
2 - Các thẻ card (Carton, nhựa)
3 - Vỏ khoai, tinh bột khoai tây phế, tinh bột phế phế các loại lẫn nước không tái chế/ tái sử dụng được
4 - Khoai tây phế, mầm khoai tây không tái chế/ tái sử dụng được
5 - Dầu thực vật tách từ hệ thống xử lý nước thải không tái chế/ tái sử dụng được
6 - Tấm bảo ôn, cách nhiệt (sợi thủy tinh)
7 - Chai, mảnh thủy tinh không dính, chứa TPNH
8 - Chất thải công nghiệp không nguy hại khác: mút xốp, giẻ lau, gia vị hủy không tái chế/ tái sử dụng được
9 - Dầu chiên (VO) đã qua sử dụng không tái chế/ tái sử dụng được
10 - Bùn thải từ hệ thống xử lý nước thải không tái chế/ tái sử dụng được</t>
  </si>
  <si>
    <t>PYC 14/09/2026</t>
  </si>
  <si>
    <t>Thường lấy</t>
  </si>
  <si>
    <t>500k (500kg)</t>
  </si>
  <si>
    <t>800k (640kg)</t>
  </si>
  <si>
    <t>750k (600kg)</t>
  </si>
  <si>
    <t>700k (460kg)</t>
  </si>
  <si>
    <t>Cấm tải 2.5T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</si>
</sst>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_-;\-* #,##0.00_-;_-* &quot;-&quot;??_-;_-@_-"/>
    <numFmt numFmtId="165" formatCode="dd\/mm\/yyyy"/>
    <numFmt numFmtId="166" formatCode="mm/dd/yy;@"/>
    <numFmt numFmtId="167" formatCode="_(* #,##0_);_(* \(#,##0\);_(* &quot;-&quot;??_);_(@_)"/>
    <numFmt numFmtId="168" formatCode="m/d/yy;@"/>
    <numFmt numFmtId="169" formatCode="00000"/>
  </numFmts>
  <fonts count="30">
    <font>
      <sz val="10"/>
      <name val="Arial"/>
      <charset val="134"/>
    </font>
    <font>
      <sz val="11"/>
      <color theme="1"/>
      <name val="Calibri"/>
      <family val="2"/>
      <scheme val="minor"/>
    </font>
    <font>
      <sz val="13"/>
      <name val="Times New Roman"/>
      <family val="1"/>
    </font>
    <font>
      <sz val="12"/>
      <name val="VNI-Times"/>
    </font>
    <font>
      <sz val="10"/>
      <name val="Arial"/>
      <family val="2"/>
    </font>
    <font>
      <sz val="11"/>
      <color theme="1"/>
      <name val="Calibri"/>
      <family val="2"/>
      <scheme val="minor"/>
    </font>
    <font>
      <u/>
      <sz val="10"/>
      <color indexed="12"/>
      <name val="Arial"/>
      <family val="2"/>
    </font>
    <font>
      <u/>
      <sz val="11"/>
      <color indexed="12"/>
      <name val="VNI-Helve"/>
    </font>
    <font>
      <sz val="13"/>
      <name val="Times New Roman"/>
      <family val="1"/>
    </font>
    <font>
      <sz val="9"/>
      <name val="Tahoma"/>
      <family val="2"/>
    </font>
    <font>
      <b/>
      <sz val="9"/>
      <name val="Tahoma"/>
      <family val="2"/>
    </font>
    <font>
      <sz val="13"/>
      <name val="Tahoma"/>
      <family val="2"/>
    </font>
    <font>
      <b/>
      <sz val="13"/>
      <name val="Tahoma"/>
      <family val="2"/>
    </font>
    <font>
      <b/>
      <sz val="8"/>
      <name val="Tahoma"/>
      <family val="2"/>
    </font>
    <font>
      <sz val="8"/>
      <name val="Tahoma"/>
      <family val="2"/>
    </font>
    <font>
      <b/>
      <sz val="14"/>
      <name val="Times New Roman"/>
      <family val="1"/>
    </font>
    <font>
      <sz val="14"/>
      <name val="Times New Roman"/>
      <family val="1"/>
    </font>
    <font>
      <sz val="14"/>
      <color theme="1"/>
      <name val="Times New Roman"/>
      <family val="1"/>
    </font>
    <font>
      <sz val="14"/>
      <color rgb="FFFF0000"/>
      <name val="Times New Roman"/>
      <family val="1"/>
    </font>
    <font>
      <sz val="14"/>
      <color rgb="FF000000"/>
      <name val="Times New Roman"/>
      <family val="1"/>
    </font>
    <font>
      <sz val="8"/>
      <name val="Arial"/>
      <family val="2"/>
    </font>
    <font>
      <i/>
      <sz val="14"/>
      <name val="Times New Roman"/>
      <family val="1"/>
    </font>
    <font>
      <b/>
      <sz val="14"/>
      <color rgb="FFFF0000"/>
      <name val="Times New Roman"/>
      <family val="1"/>
    </font>
    <font>
      <sz val="14"/>
      <color rgb="FF081B3A"/>
      <name val="Times New Roman"/>
      <family val="1"/>
    </font>
    <font>
      <b/>
      <sz val="14"/>
      <color theme="1"/>
      <name val="Times New Roman"/>
      <family val="1"/>
    </font>
    <font>
      <b/>
      <sz val="14"/>
      <color rgb="FF081B3A"/>
      <name val="Times New Roman"/>
      <family val="1"/>
    </font>
    <font>
      <sz val="13"/>
      <color rgb="FF000000"/>
      <name val="Times New Roman"/>
      <family val="1"/>
    </font>
    <font>
      <sz val="13"/>
      <name val="Times New Roman"/>
      <family val="1"/>
      <charset val="163"/>
    </font>
    <font>
      <sz val="14"/>
      <name val="Times New Roman"/>
      <family val="1"/>
      <charset val="163"/>
    </font>
    <font>
      <sz val="14"/>
      <color rgb="FF000000"/>
      <name val="Times New Roman"/>
      <family val="1"/>
      <charset val="163"/>
    </font>
  </fonts>
  <fills count="14">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theme="9" tint="0.79995117038483843"/>
        <bgColor indexed="64"/>
      </patternFill>
    </fill>
    <fill>
      <patternFill patternType="solid">
        <fgColor indexed="41"/>
        <bgColor indexed="64"/>
      </patternFill>
    </fill>
    <fill>
      <patternFill patternType="solid">
        <fgColor rgb="FF00B0F0"/>
        <bgColor indexed="64"/>
      </patternFill>
    </fill>
    <fill>
      <patternFill patternType="solid">
        <fgColor rgb="FFFF0000"/>
        <bgColor indexed="64"/>
      </patternFill>
    </fill>
    <fill>
      <patternFill patternType="solid">
        <fgColor theme="5" tint="0.79995117038483843"/>
        <bgColor indexed="64"/>
      </patternFill>
    </fill>
    <fill>
      <patternFill patternType="solid">
        <fgColor theme="9" tint="0.79998168889431442"/>
        <bgColor indexed="64"/>
      </patternFill>
    </fill>
    <fill>
      <patternFill patternType="solid">
        <fgColor indexed="9"/>
        <bgColor indexed="64"/>
      </patternFill>
    </fill>
    <fill>
      <patternFill patternType="solid">
        <fgColor theme="6" tint="0.79998168889431442"/>
        <bgColor indexed="64"/>
      </patternFill>
    </fill>
  </fills>
  <borders count="1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indexed="64"/>
      </left>
      <right/>
      <top/>
      <bottom/>
      <diagonal/>
    </border>
    <border>
      <left/>
      <right style="thin">
        <color indexed="64"/>
      </right>
      <top style="thin">
        <color indexed="64"/>
      </top>
      <bottom style="thin">
        <color indexed="64"/>
      </bottom>
      <diagonal/>
    </border>
    <border>
      <left/>
      <right style="medium">
        <color auto="1"/>
      </right>
      <top/>
      <bottom/>
      <diagonal/>
    </border>
    <border>
      <left style="thin">
        <color auto="1"/>
      </left>
      <right style="medium">
        <color auto="1"/>
      </right>
      <top/>
      <bottom/>
      <diagonal/>
    </border>
    <border>
      <left style="thin">
        <color auto="1"/>
      </left>
      <right style="medium">
        <color auto="1"/>
      </right>
      <top style="thin">
        <color auto="1"/>
      </top>
      <bottom style="thin">
        <color auto="1"/>
      </bottom>
      <diagonal/>
    </border>
  </borders>
  <cellStyleXfs count="129">
    <xf numFmtId="0" fontId="0" fillId="0" borderId="0"/>
    <xf numFmtId="43" fontId="4" fillId="0" borderId="0" applyFont="0" applyFill="0" applyBorder="0" applyAlignment="0" applyProtection="0"/>
    <xf numFmtId="0" fontId="1" fillId="0" borderId="0"/>
    <xf numFmtId="0" fontId="1" fillId="0" borderId="0"/>
    <xf numFmtId="0" fontId="5" fillId="0" borderId="0"/>
    <xf numFmtId="43" fontId="1" fillId="0" borderId="0" applyFont="0" applyFill="0" applyBorder="0" applyAlignment="0" applyProtection="0"/>
    <xf numFmtId="0" fontId="5" fillId="0" borderId="0"/>
    <xf numFmtId="0" fontId="1" fillId="0" borderId="0"/>
    <xf numFmtId="0" fontId="1" fillId="0" borderId="0"/>
    <xf numFmtId="0" fontId="1" fillId="0" borderId="0"/>
    <xf numFmtId="0" fontId="1" fillId="0" borderId="0"/>
    <xf numFmtId="0" fontId="1" fillId="0" borderId="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7" fillId="0" borderId="0" applyNumberFormat="0" applyFill="0" applyBorder="0" applyAlignment="0" applyProtection="0">
      <alignment vertical="top"/>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 fillId="0" borderId="0"/>
    <xf numFmtId="0" fontId="6" fillId="0" borderId="0" applyNumberFormat="0" applyFill="0" applyBorder="0" applyAlignment="0" applyProtection="0">
      <alignment vertical="top"/>
      <protection locked="0"/>
    </xf>
    <xf numFmtId="0" fontId="1" fillId="0" borderId="0"/>
    <xf numFmtId="0" fontId="5" fillId="0" borderId="0"/>
    <xf numFmtId="0" fontId="5"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4" fillId="0" borderId="0"/>
    <xf numFmtId="0" fontId="5" fillId="0" borderId="0"/>
    <xf numFmtId="0" fontId="4"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2" fillId="0" borderId="0"/>
    <xf numFmtId="0" fontId="8" fillId="0" borderId="0"/>
    <xf numFmtId="0" fontId="1" fillId="0" borderId="0"/>
    <xf numFmtId="0" fontId="3" fillId="0" borderId="0"/>
    <xf numFmtId="0" fontId="1" fillId="0" borderId="0"/>
    <xf numFmtId="0" fontId="1" fillId="0" borderId="0"/>
    <xf numFmtId="0" fontId="1" fillId="0" borderId="0"/>
    <xf numFmtId="0" fontId="5" fillId="0" borderId="0"/>
    <xf numFmtId="0" fontId="5" fillId="0" borderId="0"/>
    <xf numFmtId="0" fontId="5" fillId="0" borderId="0"/>
    <xf numFmtId="0" fontId="1"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4" fillId="0" borderId="0"/>
    <xf numFmtId="0" fontId="5"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4" fillId="0" borderId="0"/>
    <xf numFmtId="0" fontId="5" fillId="0" borderId="0"/>
    <xf numFmtId="0" fontId="4" fillId="0" borderId="0"/>
    <xf numFmtId="0" fontId="4" fillId="0" borderId="0"/>
    <xf numFmtId="0" fontId="1" fillId="0" borderId="0"/>
    <xf numFmtId="0" fontId="5" fillId="0" borderId="0"/>
    <xf numFmtId="0" fontId="5" fillId="0" borderId="0"/>
    <xf numFmtId="0" fontId="5" fillId="0" borderId="0"/>
    <xf numFmtId="0" fontId="1" fillId="0" borderId="0"/>
    <xf numFmtId="0" fontId="1" fillId="0" borderId="0"/>
    <xf numFmtId="0" fontId="1"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4" fillId="0" borderId="0"/>
    <xf numFmtId="43" fontId="4" fillId="0" borderId="0" applyFont="0" applyFill="0" applyBorder="0" applyAlignment="0" applyProtection="0"/>
  </cellStyleXfs>
  <cellXfs count="375">
    <xf numFmtId="0" fontId="0" fillId="0" borderId="0" xfId="0"/>
    <xf numFmtId="0" fontId="15" fillId="0" borderId="0" xfId="0" applyFont="1" applyAlignment="1">
      <alignment horizontal="center" vertical="center" wrapText="1"/>
    </xf>
    <xf numFmtId="0" fontId="16" fillId="0" borderId="0" xfId="0" applyFont="1" applyAlignment="1">
      <alignment vertical="center"/>
    </xf>
    <xf numFmtId="0" fontId="16" fillId="0" borderId="0" xfId="0" applyFont="1" applyAlignment="1">
      <alignment horizontal="center" vertical="center"/>
    </xf>
    <xf numFmtId="0" fontId="15" fillId="9" borderId="2" xfId="0" applyFont="1" applyFill="1" applyBorder="1" applyAlignment="1">
      <alignment horizontal="center" vertical="center" wrapText="1"/>
    </xf>
    <xf numFmtId="0" fontId="15" fillId="9" borderId="3" xfId="0" applyFont="1" applyFill="1" applyBorder="1" applyAlignment="1">
      <alignment horizontal="center" vertical="center" wrapText="1"/>
    </xf>
    <xf numFmtId="165" fontId="15" fillId="9" borderId="2" xfId="0" applyNumberFormat="1" applyFont="1" applyFill="1" applyBorder="1" applyAlignment="1">
      <alignment horizontal="center" vertical="center" wrapText="1"/>
    </xf>
    <xf numFmtId="0" fontId="16" fillId="2" borderId="0" xfId="0" applyFont="1" applyFill="1" applyAlignment="1">
      <alignment horizontal="center" vertical="center"/>
    </xf>
    <xf numFmtId="0" fontId="16" fillId="0" borderId="0" xfId="0" applyFont="1"/>
    <xf numFmtId="0" fontId="16" fillId="0" borderId="2" xfId="0" applyFont="1" applyBorder="1" applyAlignment="1">
      <alignment horizontal="center" vertical="center" wrapText="1"/>
    </xf>
    <xf numFmtId="0" fontId="16" fillId="0" borderId="2" xfId="0" applyFont="1" applyBorder="1" applyAlignment="1">
      <alignment vertical="center" wrapText="1"/>
    </xf>
    <xf numFmtId="0" fontId="16" fillId="0" borderId="2" xfId="0" applyFont="1" applyBorder="1" applyAlignment="1">
      <alignment horizontal="left" vertical="center" wrapText="1"/>
    </xf>
    <xf numFmtId="3" fontId="16" fillId="0" borderId="2" xfId="0" applyNumberFormat="1" applyFont="1" applyBorder="1" applyAlignment="1">
      <alignment horizontal="center" vertical="center"/>
    </xf>
    <xf numFmtId="0" fontId="16" fillId="0" borderId="2" xfId="0" applyFont="1" applyBorder="1" applyAlignment="1">
      <alignment horizontal="center" vertical="center"/>
    </xf>
    <xf numFmtId="165" fontId="16" fillId="0" borderId="2" xfId="0" applyNumberFormat="1" applyFont="1" applyBorder="1" applyAlignment="1">
      <alignment horizontal="center" vertical="center"/>
    </xf>
    <xf numFmtId="165" fontId="16" fillId="0" borderId="0" xfId="0" applyNumberFormat="1" applyFont="1" applyAlignment="1">
      <alignment horizontal="center" vertical="center"/>
    </xf>
    <xf numFmtId="0" fontId="16" fillId="0" borderId="5" xfId="0" applyFont="1" applyBorder="1" applyAlignment="1">
      <alignment vertical="center" wrapText="1"/>
    </xf>
    <xf numFmtId="0" fontId="16" fillId="0" borderId="2" xfId="0" applyFont="1" applyBorder="1" applyAlignment="1">
      <alignment vertical="center"/>
    </xf>
    <xf numFmtId="165" fontId="16" fillId="0" borderId="2" xfId="0" quotePrefix="1" applyNumberFormat="1" applyFont="1" applyBorder="1" applyAlignment="1">
      <alignment horizontal="center" vertical="center"/>
    </xf>
    <xf numFmtId="49" fontId="17" fillId="6" borderId="2" xfId="0" quotePrefix="1" applyNumberFormat="1" applyFont="1" applyFill="1" applyBorder="1" applyAlignment="1">
      <alignment vertical="center" wrapText="1"/>
    </xf>
    <xf numFmtId="49" fontId="17" fillId="6" borderId="0" xfId="0" quotePrefix="1" applyNumberFormat="1" applyFont="1" applyFill="1" applyAlignment="1">
      <alignment vertical="center" wrapText="1"/>
    </xf>
    <xf numFmtId="0" fontId="16" fillId="0" borderId="5" xfId="0" quotePrefix="1" applyFont="1" applyBorder="1" applyAlignment="1">
      <alignment vertical="center" wrapText="1"/>
    </xf>
    <xf numFmtId="49" fontId="18" fillId="6" borderId="2" xfId="0" quotePrefix="1" applyNumberFormat="1" applyFont="1" applyFill="1" applyBorder="1" applyAlignment="1">
      <alignment vertical="center" wrapText="1"/>
    </xf>
    <xf numFmtId="49" fontId="18" fillId="6" borderId="0" xfId="0" quotePrefix="1" applyNumberFormat="1" applyFont="1" applyFill="1" applyAlignment="1">
      <alignment vertical="center" wrapText="1"/>
    </xf>
    <xf numFmtId="0" fontId="16" fillId="5" borderId="2" xfId="0" applyFont="1" applyFill="1" applyBorder="1" applyAlignment="1">
      <alignment horizontal="center" vertical="center" wrapText="1"/>
    </xf>
    <xf numFmtId="165" fontId="16" fillId="0" borderId="0" xfId="0" quotePrefix="1" applyNumberFormat="1" applyFont="1" applyAlignment="1">
      <alignment horizontal="center" vertical="center"/>
    </xf>
    <xf numFmtId="0" fontId="16" fillId="0" borderId="5" xfId="0" applyFont="1" applyBorder="1" applyAlignment="1">
      <alignment horizontal="center" vertical="center"/>
    </xf>
    <xf numFmtId="49" fontId="17" fillId="0" borderId="3" xfId="0" quotePrefix="1" applyNumberFormat="1" applyFont="1" applyBorder="1" applyAlignment="1">
      <alignment vertical="center" wrapText="1"/>
    </xf>
    <xf numFmtId="0" fontId="16" fillId="0" borderId="5" xfId="0" applyFont="1" applyBorder="1" applyAlignment="1">
      <alignment horizontal="center" vertical="center" wrapText="1"/>
    </xf>
    <xf numFmtId="166" fontId="16" fillId="0" borderId="2" xfId="0" applyNumberFormat="1" applyFont="1" applyBorder="1" applyAlignment="1">
      <alignment horizontal="center" vertical="center" wrapText="1"/>
    </xf>
    <xf numFmtId="0" fontId="16" fillId="0" borderId="5" xfId="0" quotePrefix="1" applyFont="1" applyBorder="1" applyAlignment="1">
      <alignment horizontal="center" vertical="center"/>
    </xf>
    <xf numFmtId="0" fontId="16" fillId="0" borderId="2" xfId="1" applyNumberFormat="1" applyFont="1" applyFill="1" applyBorder="1" applyAlignment="1">
      <alignment vertical="center" wrapText="1"/>
    </xf>
    <xf numFmtId="0" fontId="16" fillId="0" borderId="2" xfId="1" applyNumberFormat="1" applyFont="1" applyFill="1" applyBorder="1" applyAlignment="1">
      <alignment horizontal="left" vertical="center" wrapText="1"/>
    </xf>
    <xf numFmtId="168" fontId="16" fillId="0" borderId="2" xfId="0" applyNumberFormat="1" applyFont="1" applyBorder="1" applyAlignment="1">
      <alignment horizontal="center" vertical="center"/>
    </xf>
    <xf numFmtId="168" fontId="16" fillId="0" borderId="2" xfId="0" applyNumberFormat="1" applyFont="1" applyBorder="1" applyAlignment="1">
      <alignment horizontal="center" vertical="center" wrapText="1"/>
    </xf>
    <xf numFmtId="49" fontId="16" fillId="0" borderId="2" xfId="0" quotePrefix="1" applyNumberFormat="1" applyFont="1" applyBorder="1" applyAlignment="1">
      <alignment vertical="center" wrapText="1"/>
    </xf>
    <xf numFmtId="49" fontId="16" fillId="0" borderId="0" xfId="0" quotePrefix="1" applyNumberFormat="1" applyFont="1" applyAlignment="1">
      <alignment vertical="center" wrapText="1"/>
    </xf>
    <xf numFmtId="3" fontId="16" fillId="0" borderId="2" xfId="0" applyNumberFormat="1" applyFont="1" applyBorder="1" applyAlignment="1">
      <alignment horizontal="center" vertical="center" wrapText="1"/>
    </xf>
    <xf numFmtId="0" fontId="16" fillId="5" borderId="2" xfId="0" applyFont="1" applyFill="1" applyBorder="1" applyAlignment="1">
      <alignment vertical="center"/>
    </xf>
    <xf numFmtId="0" fontId="16" fillId="0" borderId="0" xfId="0" applyFont="1" applyAlignment="1">
      <alignment vertical="center" wrapText="1"/>
    </xf>
    <xf numFmtId="0" fontId="16" fillId="2" borderId="2" xfId="0" applyFont="1" applyFill="1" applyBorder="1" applyAlignment="1">
      <alignment horizontal="left" vertical="center" wrapText="1"/>
    </xf>
    <xf numFmtId="0" fontId="16" fillId="2" borderId="2" xfId="0" applyFont="1" applyFill="1" applyBorder="1" applyAlignment="1">
      <alignment vertical="center" wrapText="1"/>
    </xf>
    <xf numFmtId="0" fontId="16" fillId="2" borderId="2" xfId="1" applyNumberFormat="1" applyFont="1" applyFill="1" applyBorder="1" applyAlignment="1">
      <alignment horizontal="left" vertical="center" wrapText="1"/>
    </xf>
    <xf numFmtId="3" fontId="16" fillId="2" borderId="5" xfId="0" applyNumberFormat="1" applyFont="1" applyFill="1" applyBorder="1" applyAlignment="1">
      <alignment horizontal="center" vertical="center"/>
    </xf>
    <xf numFmtId="165" fontId="16" fillId="2" borderId="2" xfId="0" applyNumberFormat="1" applyFont="1" applyFill="1" applyBorder="1" applyAlignment="1">
      <alignment horizontal="center" vertical="center"/>
    </xf>
    <xf numFmtId="49" fontId="17" fillId="0" borderId="2" xfId="0" quotePrefix="1" applyNumberFormat="1" applyFont="1" applyBorder="1" applyAlignment="1">
      <alignment vertical="center" wrapText="1"/>
    </xf>
    <xf numFmtId="49" fontId="17" fillId="8" borderId="0" xfId="0" quotePrefix="1" applyNumberFormat="1" applyFont="1" applyFill="1" applyAlignment="1">
      <alignment vertical="center" wrapText="1"/>
    </xf>
    <xf numFmtId="49" fontId="17" fillId="8" borderId="2" xfId="0" quotePrefix="1" applyNumberFormat="1" applyFont="1" applyFill="1" applyBorder="1" applyAlignment="1">
      <alignment vertical="center" wrapText="1"/>
    </xf>
    <xf numFmtId="0" fontId="16" fillId="0" borderId="2" xfId="0" quotePrefix="1" applyFont="1" applyBorder="1" applyAlignment="1">
      <alignment horizontal="center" vertical="center" wrapText="1"/>
    </xf>
    <xf numFmtId="0" fontId="16" fillId="0" borderId="2" xfId="0" quotePrefix="1" applyFont="1" applyBorder="1" applyAlignment="1">
      <alignment horizontal="center" vertical="center"/>
    </xf>
    <xf numFmtId="14" fontId="16" fillId="0" borderId="2" xfId="0" applyNumberFormat="1" applyFont="1" applyBorder="1" applyAlignment="1">
      <alignment horizontal="center" vertical="center"/>
    </xf>
    <xf numFmtId="49" fontId="17" fillId="6" borderId="2" xfId="0" applyNumberFormat="1" applyFont="1" applyFill="1" applyBorder="1" applyAlignment="1">
      <alignment vertical="center" wrapText="1"/>
    </xf>
    <xf numFmtId="166" fontId="16" fillId="0" borderId="2" xfId="0" applyNumberFormat="1" applyFont="1" applyBorder="1" applyAlignment="1">
      <alignment horizontal="center" vertical="center"/>
    </xf>
    <xf numFmtId="0" fontId="16" fillId="0" borderId="2" xfId="0" quotePrefix="1" applyFont="1" applyBorder="1" applyAlignment="1">
      <alignment vertical="center"/>
    </xf>
    <xf numFmtId="14" fontId="16" fillId="0" borderId="0" xfId="0" applyNumberFormat="1" applyFont="1" applyAlignment="1">
      <alignment horizontal="center" vertical="center"/>
    </xf>
    <xf numFmtId="168" fontId="16" fillId="0" borderId="5" xfId="0" applyNumberFormat="1" applyFont="1" applyBorder="1" applyAlignment="1">
      <alignment horizontal="center" vertical="center"/>
    </xf>
    <xf numFmtId="49" fontId="17" fillId="11" borderId="2" xfId="0" quotePrefix="1" applyNumberFormat="1" applyFont="1" applyFill="1" applyBorder="1" applyAlignment="1">
      <alignment vertical="center" wrapText="1"/>
    </xf>
    <xf numFmtId="168" fontId="16" fillId="0" borderId="5" xfId="0" applyNumberFormat="1" applyFont="1" applyBorder="1" applyAlignment="1">
      <alignment horizontal="center" vertical="center" wrapText="1"/>
    </xf>
    <xf numFmtId="167" fontId="16" fillId="0" borderId="5" xfId="1" applyNumberFormat="1" applyFont="1" applyFill="1" applyBorder="1" applyAlignment="1">
      <alignment horizontal="center" vertical="center" wrapText="1"/>
    </xf>
    <xf numFmtId="167" fontId="15" fillId="0" borderId="5" xfId="1" applyNumberFormat="1" applyFont="1" applyFill="1" applyBorder="1" applyAlignment="1">
      <alignment horizontal="center" vertical="center" wrapText="1"/>
    </xf>
    <xf numFmtId="0" fontId="18" fillId="0" borderId="2" xfId="0" applyFont="1" applyBorder="1" applyAlignment="1">
      <alignment vertical="center" wrapText="1"/>
    </xf>
    <xf numFmtId="168" fontId="16" fillId="5" borderId="2" xfId="0" applyNumberFormat="1" applyFont="1" applyFill="1" applyBorder="1" applyAlignment="1">
      <alignment horizontal="center" vertical="center" wrapText="1"/>
    </xf>
    <xf numFmtId="0" fontId="16" fillId="0" borderId="4" xfId="0" applyFont="1" applyBorder="1" applyAlignment="1">
      <alignment horizontal="left" vertical="center" wrapText="1"/>
    </xf>
    <xf numFmtId="167" fontId="16" fillId="0" borderId="5" xfId="1" quotePrefix="1" applyNumberFormat="1" applyFont="1" applyFill="1" applyBorder="1" applyAlignment="1">
      <alignment horizontal="center" vertical="center" wrapText="1"/>
    </xf>
    <xf numFmtId="3" fontId="16" fillId="0" borderId="5" xfId="0" applyNumberFormat="1" applyFont="1" applyBorder="1" applyAlignment="1">
      <alignment horizontal="center" vertical="center"/>
    </xf>
    <xf numFmtId="0" fontId="16" fillId="0" borderId="4" xfId="0" applyFont="1" applyBorder="1" applyAlignment="1">
      <alignment vertical="center"/>
    </xf>
    <xf numFmtId="167" fontId="16" fillId="0" borderId="2" xfId="1" applyNumberFormat="1" applyFont="1" applyFill="1" applyBorder="1" applyAlignment="1">
      <alignment horizontal="left" vertical="center" wrapText="1"/>
    </xf>
    <xf numFmtId="166" fontId="16" fillId="0" borderId="2" xfId="0" quotePrefix="1" applyNumberFormat="1" applyFont="1" applyBorder="1" applyAlignment="1">
      <alignment horizontal="center" vertical="center"/>
    </xf>
    <xf numFmtId="166" fontId="16" fillId="0" borderId="0" xfId="0" quotePrefix="1" applyNumberFormat="1" applyFont="1" applyAlignment="1">
      <alignment horizontal="center" vertical="center"/>
    </xf>
    <xf numFmtId="0" fontId="15" fillId="0" borderId="2" xfId="0" applyFont="1" applyBorder="1" applyAlignment="1">
      <alignment horizontal="center" vertical="center" wrapText="1"/>
    </xf>
    <xf numFmtId="166" fontId="16" fillId="0" borderId="0" xfId="0" applyNumberFormat="1" applyFont="1" applyAlignment="1">
      <alignment horizontal="center" vertical="center"/>
    </xf>
    <xf numFmtId="3" fontId="16" fillId="0" borderId="5" xfId="0" applyNumberFormat="1" applyFont="1" applyBorder="1" applyAlignment="1">
      <alignment horizontal="center" vertical="center" wrapText="1"/>
    </xf>
    <xf numFmtId="0" fontId="16" fillId="4" borderId="0" xfId="0" applyFont="1" applyFill="1" applyAlignment="1">
      <alignment horizontal="center" vertical="center"/>
    </xf>
    <xf numFmtId="167" fontId="15" fillId="0" borderId="2" xfId="1" applyNumberFormat="1" applyFont="1" applyFill="1" applyBorder="1" applyAlignment="1">
      <alignment horizontal="left" vertical="center" wrapText="1"/>
    </xf>
    <xf numFmtId="0" fontId="15" fillId="0" borderId="2" xfId="0" applyFont="1" applyBorder="1" applyAlignment="1">
      <alignment vertical="center" wrapText="1"/>
    </xf>
    <xf numFmtId="0" fontId="15" fillId="5" borderId="2" xfId="0" applyFont="1" applyFill="1" applyBorder="1" applyAlignment="1">
      <alignment horizontal="center" vertical="center" wrapText="1"/>
    </xf>
    <xf numFmtId="14" fontId="16" fillId="0" borderId="2" xfId="0" quotePrefix="1" applyNumberFormat="1" applyFont="1" applyBorder="1" applyAlignment="1">
      <alignment horizontal="center" vertical="center"/>
    </xf>
    <xf numFmtId="14" fontId="16" fillId="0" borderId="0" xfId="0" quotePrefix="1" applyNumberFormat="1" applyFont="1" applyAlignment="1">
      <alignment horizontal="center" vertical="center"/>
    </xf>
    <xf numFmtId="0" fontId="16" fillId="2" borderId="2" xfId="0" applyFont="1" applyFill="1" applyBorder="1" applyAlignment="1">
      <alignment horizontal="center" vertical="center"/>
    </xf>
    <xf numFmtId="0" fontId="16" fillId="2" borderId="5" xfId="0" applyFont="1" applyFill="1" applyBorder="1" applyAlignment="1">
      <alignment horizontal="center" vertical="center" wrapText="1"/>
    </xf>
    <xf numFmtId="166" fontId="16" fillId="2" borderId="2" xfId="0" quotePrefix="1" applyNumberFormat="1" applyFont="1" applyFill="1" applyBorder="1" applyAlignment="1">
      <alignment horizontal="center" vertical="center"/>
    </xf>
    <xf numFmtId="166" fontId="16" fillId="2" borderId="2" xfId="0" applyNumberFormat="1" applyFont="1" applyFill="1" applyBorder="1" applyAlignment="1">
      <alignment horizontal="center" vertical="center"/>
    </xf>
    <xf numFmtId="0" fontId="16" fillId="0" borderId="5" xfId="0" quotePrefix="1" applyFont="1" applyBorder="1" applyAlignment="1">
      <alignment horizontal="center" vertical="center" wrapText="1"/>
    </xf>
    <xf numFmtId="166" fontId="16" fillId="0" borderId="2" xfId="0" quotePrefix="1" applyNumberFormat="1" applyFont="1" applyBorder="1" applyAlignment="1">
      <alignment horizontal="center" vertical="center" wrapText="1"/>
    </xf>
    <xf numFmtId="49" fontId="17" fillId="0" borderId="0" xfId="0" quotePrefix="1" applyNumberFormat="1" applyFont="1" applyAlignment="1">
      <alignment vertical="center" wrapText="1"/>
    </xf>
    <xf numFmtId="0" fontId="17" fillId="0" borderId="2" xfId="1" applyNumberFormat="1" applyFont="1" applyFill="1" applyBorder="1" applyAlignment="1">
      <alignment vertical="center" wrapText="1"/>
    </xf>
    <xf numFmtId="165" fontId="16" fillId="0" borderId="2" xfId="0" applyNumberFormat="1" applyFont="1" applyBorder="1" applyAlignment="1">
      <alignment horizontal="center" vertical="center" wrapText="1"/>
    </xf>
    <xf numFmtId="165" fontId="16" fillId="0" borderId="0" xfId="0" applyNumberFormat="1" applyFont="1" applyAlignment="1">
      <alignment horizontal="center" vertical="center" wrapText="1"/>
    </xf>
    <xf numFmtId="0" fontId="16" fillId="5" borderId="5" xfId="0" applyFont="1" applyFill="1" applyBorder="1" applyAlignment="1">
      <alignment horizontal="center" vertical="center" wrapText="1"/>
    </xf>
    <xf numFmtId="3" fontId="16" fillId="0" borderId="5" xfId="0" quotePrefix="1" applyNumberFormat="1" applyFont="1" applyBorder="1" applyAlignment="1">
      <alignment horizontal="center" vertical="center"/>
    </xf>
    <xf numFmtId="0" fontId="16" fillId="0" borderId="2" xfId="0" applyFont="1" applyBorder="1" applyAlignment="1">
      <alignment horizontal="left" vertical="center"/>
    </xf>
    <xf numFmtId="168" fontId="16" fillId="4" borderId="2" xfId="0" applyNumberFormat="1" applyFont="1" applyFill="1" applyBorder="1" applyAlignment="1">
      <alignment horizontal="center" vertical="center" wrapText="1"/>
    </xf>
    <xf numFmtId="3" fontId="16" fillId="0" borderId="2" xfId="0" quotePrefix="1" applyNumberFormat="1" applyFont="1" applyBorder="1" applyAlignment="1">
      <alignment horizontal="center" vertical="center" wrapText="1"/>
    </xf>
    <xf numFmtId="0" fontId="16" fillId="0" borderId="4" xfId="0" applyFont="1" applyBorder="1" applyAlignment="1">
      <alignment vertical="center" wrapText="1"/>
    </xf>
    <xf numFmtId="0" fontId="16" fillId="0" borderId="4" xfId="0" applyFont="1" applyBorder="1" applyAlignment="1">
      <alignment horizontal="center" vertical="center" wrapText="1"/>
    </xf>
    <xf numFmtId="3" fontId="16" fillId="2" borderId="2" xfId="0" applyNumberFormat="1" applyFont="1" applyFill="1" applyBorder="1" applyAlignment="1">
      <alignment horizontal="center" vertical="center"/>
    </xf>
    <xf numFmtId="0" fontId="16" fillId="0" borderId="2" xfId="0" quotePrefix="1" applyFont="1" applyBorder="1" applyAlignment="1">
      <alignment vertical="center" wrapText="1"/>
    </xf>
    <xf numFmtId="49" fontId="17" fillId="7" borderId="2" xfId="0" quotePrefix="1" applyNumberFormat="1" applyFont="1" applyFill="1" applyBorder="1" applyAlignment="1">
      <alignment vertical="center" wrapText="1"/>
    </xf>
    <xf numFmtId="49" fontId="17" fillId="7" borderId="0" xfId="0" quotePrefix="1" applyNumberFormat="1" applyFont="1" applyFill="1" applyAlignment="1">
      <alignment vertical="center" wrapText="1"/>
    </xf>
    <xf numFmtId="0" fontId="16" fillId="0" borderId="0" xfId="0" applyFont="1" applyAlignment="1">
      <alignment horizontal="center" vertical="center" wrapText="1"/>
    </xf>
    <xf numFmtId="49" fontId="17" fillId="0" borderId="2" xfId="0" quotePrefix="1" applyNumberFormat="1" applyFont="1" applyBorder="1" applyAlignment="1">
      <alignment horizontal="left" vertical="center" wrapText="1"/>
    </xf>
    <xf numFmtId="0" fontId="15" fillId="4" borderId="2" xfId="0" applyFont="1" applyFill="1" applyBorder="1" applyAlignment="1">
      <alignment horizontal="center" vertical="center" wrapText="1"/>
    </xf>
    <xf numFmtId="0" fontId="15" fillId="0" borderId="5" xfId="0" applyFont="1" applyBorder="1" applyAlignment="1">
      <alignment horizontal="center" vertical="center" wrapText="1"/>
    </xf>
    <xf numFmtId="0" fontId="16" fillId="0" borderId="3" xfId="0" applyFont="1" applyBorder="1" applyAlignment="1">
      <alignment horizontal="left" vertical="center" wrapText="1"/>
    </xf>
    <xf numFmtId="167" fontId="16" fillId="0" borderId="3" xfId="1" applyNumberFormat="1" applyFont="1" applyFill="1" applyBorder="1" applyAlignment="1">
      <alignment horizontal="left" vertical="center" wrapText="1"/>
    </xf>
    <xf numFmtId="3" fontId="16" fillId="0" borderId="3" xfId="0" applyNumberFormat="1" applyFont="1" applyBorder="1" applyAlignment="1">
      <alignment horizontal="center" vertical="center"/>
    </xf>
    <xf numFmtId="0" fontId="15" fillId="5" borderId="2" xfId="0" applyFont="1" applyFill="1" applyBorder="1" applyAlignment="1">
      <alignment horizontal="center" vertical="center"/>
    </xf>
    <xf numFmtId="0" fontId="17" fillId="0" borderId="2" xfId="0" applyFont="1" applyBorder="1" applyAlignment="1">
      <alignment horizontal="left" vertical="center" wrapText="1"/>
    </xf>
    <xf numFmtId="166" fontId="16" fillId="0" borderId="0" xfId="0" quotePrefix="1" applyNumberFormat="1" applyFont="1" applyAlignment="1">
      <alignment horizontal="center" vertical="center" wrapText="1"/>
    </xf>
    <xf numFmtId="0" fontId="15" fillId="5" borderId="5" xfId="0" applyFont="1" applyFill="1" applyBorder="1" applyAlignment="1">
      <alignment horizontal="center" vertical="center" wrapText="1"/>
    </xf>
    <xf numFmtId="1" fontId="16" fillId="0" borderId="2" xfId="0" applyNumberFormat="1" applyFont="1" applyBorder="1" applyAlignment="1">
      <alignment horizontal="center" vertical="center"/>
    </xf>
    <xf numFmtId="0" fontId="16" fillId="0" borderId="4" xfId="1" applyNumberFormat="1" applyFont="1" applyFill="1" applyBorder="1" applyAlignment="1">
      <alignment horizontal="left" vertical="center" wrapText="1"/>
    </xf>
    <xf numFmtId="14" fontId="16" fillId="0" borderId="2" xfId="0" applyNumberFormat="1" applyFont="1" applyBorder="1" applyAlignment="1">
      <alignment horizontal="center" vertical="center" wrapText="1"/>
    </xf>
    <xf numFmtId="165" fontId="16" fillId="0" borderId="5" xfId="0" applyNumberFormat="1" applyFont="1" applyBorder="1" applyAlignment="1">
      <alignment horizontal="center" vertical="center"/>
    </xf>
    <xf numFmtId="49" fontId="17" fillId="2" borderId="2" xfId="0" quotePrefix="1" applyNumberFormat="1" applyFont="1" applyFill="1" applyBorder="1" applyAlignment="1">
      <alignment vertical="center" wrapText="1"/>
    </xf>
    <xf numFmtId="0" fontId="19" fillId="0" borderId="2" xfId="0" applyFont="1" applyBorder="1" applyAlignment="1">
      <alignment vertical="center" wrapText="1"/>
    </xf>
    <xf numFmtId="168" fontId="16" fillId="0" borderId="2" xfId="0" quotePrefix="1" applyNumberFormat="1" applyFont="1" applyBorder="1" applyAlignment="1">
      <alignment horizontal="center" vertical="center"/>
    </xf>
    <xf numFmtId="2" fontId="16" fillId="0" borderId="5" xfId="0" applyNumberFormat="1" applyFont="1" applyBorder="1" applyAlignment="1">
      <alignment horizontal="center" vertical="center"/>
    </xf>
    <xf numFmtId="14" fontId="16" fillId="0" borderId="5" xfId="1" applyNumberFormat="1" applyFont="1" applyFill="1" applyBorder="1" applyAlignment="1">
      <alignment horizontal="center" vertical="center" wrapText="1"/>
    </xf>
    <xf numFmtId="165" fontId="16" fillId="0" borderId="2" xfId="0" applyNumberFormat="1" applyFont="1" applyBorder="1" applyAlignment="1">
      <alignment vertical="center"/>
    </xf>
    <xf numFmtId="165" fontId="16" fillId="0" borderId="0" xfId="0" quotePrefix="1" applyNumberFormat="1" applyFont="1" applyAlignment="1">
      <alignment vertical="center"/>
    </xf>
    <xf numFmtId="0" fontId="16" fillId="3" borderId="2" xfId="0" applyFont="1" applyFill="1" applyBorder="1" applyAlignment="1">
      <alignment horizontal="center" vertical="center" wrapText="1"/>
    </xf>
    <xf numFmtId="165" fontId="16" fillId="0" borderId="2" xfId="0" quotePrefix="1" applyNumberFormat="1" applyFont="1" applyBorder="1" applyAlignment="1">
      <alignment vertical="center"/>
    </xf>
    <xf numFmtId="49" fontId="17" fillId="11" borderId="3" xfId="0" quotePrefix="1" applyNumberFormat="1" applyFont="1" applyFill="1" applyBorder="1" applyAlignment="1">
      <alignment vertical="center" wrapText="1"/>
    </xf>
    <xf numFmtId="49" fontId="17" fillId="6" borderId="3" xfId="0" quotePrefix="1" applyNumberFormat="1" applyFont="1" applyFill="1" applyBorder="1" applyAlignment="1">
      <alignment vertical="center" wrapText="1"/>
    </xf>
    <xf numFmtId="165" fontId="16" fillId="0" borderId="0" xfId="0" quotePrefix="1" applyNumberFormat="1" applyFont="1" applyAlignment="1">
      <alignment horizontal="center" vertical="center" wrapText="1"/>
    </xf>
    <xf numFmtId="169" fontId="16" fillId="0" borderId="2" xfId="1" applyNumberFormat="1" applyFont="1" applyFill="1" applyBorder="1" applyAlignment="1">
      <alignment horizontal="left" vertical="center" wrapText="1"/>
    </xf>
    <xf numFmtId="49" fontId="17" fillId="11" borderId="0" xfId="0" quotePrefix="1" applyNumberFormat="1" applyFont="1" applyFill="1" applyAlignment="1">
      <alignment vertical="center" wrapText="1"/>
    </xf>
    <xf numFmtId="49" fontId="17" fillId="2" borderId="3" xfId="0" quotePrefix="1" applyNumberFormat="1" applyFont="1" applyFill="1" applyBorder="1" applyAlignment="1">
      <alignment vertical="center" wrapText="1"/>
    </xf>
    <xf numFmtId="49" fontId="16" fillId="10" borderId="2" xfId="0" quotePrefix="1" applyNumberFormat="1" applyFont="1" applyFill="1" applyBorder="1" applyAlignment="1">
      <alignment vertical="center" wrapText="1"/>
    </xf>
    <xf numFmtId="49" fontId="16" fillId="10" borderId="0" xfId="0" quotePrefix="1" applyNumberFormat="1" applyFont="1" applyFill="1" applyAlignment="1">
      <alignment vertical="center" wrapText="1"/>
    </xf>
    <xf numFmtId="0" fontId="18" fillId="0" borderId="0" xfId="0" applyFont="1" applyAlignment="1">
      <alignment horizontal="center" vertical="center"/>
    </xf>
    <xf numFmtId="14" fontId="16" fillId="0" borderId="5" xfId="0" applyNumberFormat="1" applyFont="1" applyBorder="1" applyAlignment="1">
      <alignment horizontal="center" vertical="center" wrapText="1"/>
    </xf>
    <xf numFmtId="14" fontId="16" fillId="0" borderId="5" xfId="0" quotePrefix="1" applyNumberFormat="1" applyFont="1" applyBorder="1" applyAlignment="1">
      <alignment horizontal="center" vertical="center" wrapText="1"/>
    </xf>
    <xf numFmtId="14" fontId="16" fillId="0" borderId="2" xfId="0" applyNumberFormat="1" applyFont="1" applyBorder="1" applyAlignment="1">
      <alignment vertical="center"/>
    </xf>
    <xf numFmtId="0" fontId="16" fillId="0" borderId="2" xfId="1" applyNumberFormat="1" applyFont="1" applyFill="1" applyBorder="1" applyAlignment="1" applyProtection="1">
      <alignment horizontal="left" vertical="center" wrapText="1"/>
      <protection locked="0"/>
    </xf>
    <xf numFmtId="0" fontId="17" fillId="0" borderId="2" xfId="0" applyFont="1" applyBorder="1" applyAlignment="1">
      <alignment vertical="center" wrapText="1"/>
    </xf>
    <xf numFmtId="0" fontId="17" fillId="0" borderId="0" xfId="0" applyFont="1" applyAlignment="1">
      <alignment horizontal="left" vertical="center" wrapText="1"/>
    </xf>
    <xf numFmtId="49" fontId="16" fillId="6" borderId="0" xfId="0" quotePrefix="1" applyNumberFormat="1" applyFont="1" applyFill="1" applyAlignment="1">
      <alignment vertical="center" wrapText="1"/>
    </xf>
    <xf numFmtId="168" fontId="15" fillId="0" borderId="2" xfId="0" applyNumberFormat="1" applyFont="1" applyBorder="1" applyAlignment="1">
      <alignment horizontal="center" vertical="center" wrapText="1"/>
    </xf>
    <xf numFmtId="0" fontId="17" fillId="12" borderId="3" xfId="0" applyFont="1" applyFill="1" applyBorder="1" applyAlignment="1">
      <alignment horizontal="left" vertical="center" wrapText="1"/>
    </xf>
    <xf numFmtId="0" fontId="17" fillId="0" borderId="3" xfId="0" applyFont="1" applyBorder="1" applyAlignment="1">
      <alignment horizontal="left" vertical="center" wrapText="1"/>
    </xf>
    <xf numFmtId="167" fontId="16" fillId="0" borderId="4" xfId="1" applyNumberFormat="1" applyFont="1" applyFill="1" applyBorder="1" applyAlignment="1">
      <alignment horizontal="left" vertical="center" wrapText="1"/>
    </xf>
    <xf numFmtId="3" fontId="16" fillId="0" borderId="2" xfId="0" applyNumberFormat="1" applyFont="1" applyBorder="1" applyAlignment="1">
      <alignment vertical="center"/>
    </xf>
    <xf numFmtId="49" fontId="17" fillId="2" borderId="0" xfId="0" quotePrefix="1" applyNumberFormat="1" applyFont="1" applyFill="1" applyAlignment="1">
      <alignment vertical="center" wrapText="1"/>
    </xf>
    <xf numFmtId="3" fontId="16" fillId="0" borderId="2" xfId="0" quotePrefix="1" applyNumberFormat="1" applyFont="1" applyBorder="1" applyAlignment="1">
      <alignment vertical="center"/>
    </xf>
    <xf numFmtId="3" fontId="16" fillId="0" borderId="5" xfId="0" applyNumberFormat="1" applyFont="1" applyBorder="1" applyAlignment="1">
      <alignment vertical="center"/>
    </xf>
    <xf numFmtId="166" fontId="16" fillId="2" borderId="2" xfId="0" applyNumberFormat="1"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2" xfId="35" applyFont="1" applyBorder="1" applyAlignment="1">
      <alignment horizontal="left" vertical="center" wrapText="1"/>
    </xf>
    <xf numFmtId="0" fontId="19" fillId="0" borderId="2" xfId="0" applyFont="1" applyBorder="1" applyAlignment="1">
      <alignment wrapText="1"/>
    </xf>
    <xf numFmtId="0" fontId="16" fillId="0" borderId="2" xfId="15" applyNumberFormat="1" applyFont="1" applyFill="1" applyBorder="1" applyAlignment="1">
      <alignment vertical="center" wrapText="1"/>
    </xf>
    <xf numFmtId="0" fontId="16" fillId="0" borderId="2" xfId="1" applyNumberFormat="1" applyFont="1" applyFill="1" applyBorder="1" applyAlignment="1">
      <alignment horizontal="center" vertical="center" wrapText="1"/>
    </xf>
    <xf numFmtId="0" fontId="15" fillId="5" borderId="2" xfId="0" applyFont="1" applyFill="1" applyBorder="1" applyAlignment="1">
      <alignment vertical="center"/>
    </xf>
    <xf numFmtId="14" fontId="17" fillId="0" borderId="2" xfId="0" quotePrefix="1" applyNumberFormat="1" applyFont="1" applyBorder="1" applyAlignment="1">
      <alignment horizontal="center" vertical="center" wrapText="1"/>
    </xf>
    <xf numFmtId="14" fontId="17" fillId="0" borderId="0" xfId="0" quotePrefix="1" applyNumberFormat="1" applyFont="1" applyAlignment="1">
      <alignment horizontal="center" vertical="center" wrapText="1"/>
    </xf>
    <xf numFmtId="0" fontId="15" fillId="0" borderId="2" xfId="0" applyFont="1" applyBorder="1" applyAlignment="1">
      <alignment horizontal="center" vertical="center"/>
    </xf>
    <xf numFmtId="0" fontId="16" fillId="0" borderId="5" xfId="0" applyFont="1" applyBorder="1" applyAlignment="1">
      <alignment vertical="center"/>
    </xf>
    <xf numFmtId="0" fontId="16" fillId="0" borderId="5" xfId="0" applyFont="1" applyBorder="1" applyAlignment="1">
      <alignment horizontal="left" vertical="center"/>
    </xf>
    <xf numFmtId="0" fontId="16" fillId="0" borderId="5" xfId="0" quotePrefix="1" applyFont="1" applyBorder="1" applyAlignment="1">
      <alignment vertical="center"/>
    </xf>
    <xf numFmtId="14" fontId="16" fillId="0" borderId="2" xfId="0" quotePrefix="1" applyNumberFormat="1" applyFont="1" applyBorder="1" applyAlignment="1">
      <alignment vertical="center"/>
    </xf>
    <xf numFmtId="14" fontId="16" fillId="0" borderId="0" xfId="0" quotePrefix="1" applyNumberFormat="1" applyFont="1" applyAlignment="1">
      <alignment vertical="center"/>
    </xf>
    <xf numFmtId="0" fontId="16" fillId="0" borderId="0" xfId="0" quotePrefix="1" applyFont="1" applyAlignment="1">
      <alignment horizontal="center" vertical="center"/>
    </xf>
    <xf numFmtId="3" fontId="16" fillId="0" borderId="3" xfId="0" applyNumberFormat="1" applyFont="1" applyBorder="1" applyAlignment="1">
      <alignment horizontal="center" vertical="center" wrapText="1"/>
    </xf>
    <xf numFmtId="0" fontId="16" fillId="0" borderId="8" xfId="0" applyFont="1" applyBorder="1" applyAlignment="1">
      <alignment horizontal="left" vertical="center" wrapText="1"/>
    </xf>
    <xf numFmtId="0" fontId="16" fillId="0" borderId="3" xfId="0" applyFont="1" applyBorder="1" applyAlignment="1">
      <alignment vertical="center" wrapText="1"/>
    </xf>
    <xf numFmtId="0" fontId="16" fillId="0" borderId="3" xfId="0" applyFont="1" applyBorder="1" applyAlignment="1">
      <alignment horizontal="center" vertical="center"/>
    </xf>
    <xf numFmtId="167" fontId="15" fillId="0" borderId="2" xfId="1" applyNumberFormat="1" applyFont="1" applyFill="1" applyBorder="1" applyAlignment="1">
      <alignment vertical="center"/>
    </xf>
    <xf numFmtId="49" fontId="16" fillId="0" borderId="3" xfId="0" quotePrefix="1" applyNumberFormat="1" applyFont="1" applyBorder="1" applyAlignment="1">
      <alignment vertical="center" wrapText="1"/>
    </xf>
    <xf numFmtId="0" fontId="15" fillId="0" borderId="0" xfId="0" applyFont="1" applyAlignment="1">
      <alignment horizontal="center" vertical="center"/>
    </xf>
    <xf numFmtId="168" fontId="16" fillId="0" borderId="3" xfId="0" applyNumberFormat="1" applyFont="1" applyBorder="1" applyAlignment="1">
      <alignment horizontal="center" vertical="center" wrapText="1"/>
    </xf>
    <xf numFmtId="0" fontId="15" fillId="5" borderId="3" xfId="0" applyFont="1" applyFill="1" applyBorder="1" applyAlignment="1">
      <alignment horizontal="center" vertical="center" wrapText="1"/>
    </xf>
    <xf numFmtId="165" fontId="16" fillId="0" borderId="3" xfId="0" quotePrefix="1" applyNumberFormat="1" applyFont="1" applyBorder="1" applyAlignment="1">
      <alignment horizontal="center" vertical="center"/>
    </xf>
    <xf numFmtId="167" fontId="16" fillId="0" borderId="2" xfId="1" applyNumberFormat="1" applyFont="1" applyFill="1" applyBorder="1" applyAlignment="1">
      <alignment horizontal="center" vertical="center" wrapText="1"/>
    </xf>
    <xf numFmtId="167" fontId="16" fillId="0" borderId="3" xfId="1" applyNumberFormat="1" applyFont="1" applyFill="1" applyBorder="1" applyAlignment="1">
      <alignment horizontal="center" vertical="center" wrapText="1"/>
    </xf>
    <xf numFmtId="165" fontId="16" fillId="0" borderId="3" xfId="0" applyNumberFormat="1" applyFont="1" applyBorder="1" applyAlignment="1">
      <alignment horizontal="center" vertical="center"/>
    </xf>
    <xf numFmtId="166" fontId="16" fillId="0" borderId="2" xfId="0" applyNumberFormat="1" applyFont="1" applyBorder="1" applyAlignment="1">
      <alignment vertical="center" wrapText="1"/>
    </xf>
    <xf numFmtId="0" fontId="15" fillId="5" borderId="2" xfId="0" applyFont="1" applyFill="1" applyBorder="1" applyAlignment="1">
      <alignment vertical="center" wrapText="1"/>
    </xf>
    <xf numFmtId="0" fontId="16" fillId="0" borderId="3" xfId="0" applyFont="1" applyBorder="1" applyAlignment="1">
      <alignment vertical="center"/>
    </xf>
    <xf numFmtId="166" fontId="16" fillId="0" borderId="3" xfId="0" applyNumberFormat="1" applyFont="1" applyBorder="1" applyAlignment="1">
      <alignment vertical="center" wrapText="1"/>
    </xf>
    <xf numFmtId="165" fontId="16" fillId="0" borderId="3" xfId="0" quotePrefix="1" applyNumberFormat="1" applyFont="1" applyBorder="1" applyAlignment="1">
      <alignment vertical="center"/>
    </xf>
    <xf numFmtId="0" fontId="16" fillId="0" borderId="0" xfId="0" applyFont="1" applyAlignment="1">
      <alignment horizontal="left" vertical="center" wrapText="1"/>
    </xf>
    <xf numFmtId="165" fontId="15" fillId="0" borderId="2" xfId="0" applyNumberFormat="1" applyFont="1" applyBorder="1" applyAlignment="1">
      <alignment horizontal="center" vertical="center" wrapText="1"/>
    </xf>
    <xf numFmtId="165" fontId="15" fillId="0" borderId="0" xfId="0" applyNumberFormat="1" applyFont="1" applyAlignment="1">
      <alignment horizontal="center" vertical="center" wrapText="1"/>
    </xf>
    <xf numFmtId="165" fontId="16" fillId="4" borderId="2" xfId="0" applyNumberFormat="1" applyFont="1" applyFill="1" applyBorder="1" applyAlignment="1">
      <alignment horizontal="center" vertical="center"/>
    </xf>
    <xf numFmtId="165" fontId="16" fillId="4" borderId="0" xfId="0" applyNumberFormat="1" applyFont="1" applyFill="1" applyAlignment="1">
      <alignment horizontal="center" vertical="center"/>
    </xf>
    <xf numFmtId="165" fontId="16" fillId="0" borderId="2" xfId="0" quotePrefix="1" applyNumberFormat="1" applyFont="1" applyBorder="1" applyAlignment="1">
      <alignment horizontal="center" vertical="center" wrapText="1"/>
    </xf>
    <xf numFmtId="0" fontId="16" fillId="0" borderId="0" xfId="0" applyFont="1" applyAlignment="1">
      <alignment horizontal="left" vertical="center"/>
    </xf>
    <xf numFmtId="167" fontId="16" fillId="0" borderId="2" xfId="15" applyNumberFormat="1" applyFont="1" applyFill="1" applyBorder="1" applyAlignment="1">
      <alignment horizontal="left" vertical="center" wrapText="1"/>
    </xf>
    <xf numFmtId="0" fontId="16" fillId="0" borderId="2" xfId="15" applyNumberFormat="1" applyFont="1" applyFill="1" applyBorder="1" applyAlignment="1">
      <alignment horizontal="left" vertical="center" wrapText="1"/>
    </xf>
    <xf numFmtId="3" fontId="16" fillId="0" borderId="5" xfId="0" quotePrefix="1" applyNumberFormat="1" applyFont="1" applyBorder="1" applyAlignment="1">
      <alignment vertical="center"/>
    </xf>
    <xf numFmtId="165" fontId="16" fillId="2" borderId="2" xfId="0" quotePrefix="1" applyNumberFormat="1" applyFont="1" applyFill="1" applyBorder="1" applyAlignment="1">
      <alignment horizontal="center" vertical="center"/>
    </xf>
    <xf numFmtId="165" fontId="16" fillId="2" borderId="0" xfId="0" quotePrefix="1" applyNumberFormat="1" applyFont="1" applyFill="1" applyAlignment="1">
      <alignment horizontal="center" vertical="center"/>
    </xf>
    <xf numFmtId="0" fontId="15" fillId="2" borderId="5" xfId="0" applyFont="1" applyFill="1" applyBorder="1" applyAlignment="1">
      <alignment horizontal="center" vertical="center" wrapText="1"/>
    </xf>
    <xf numFmtId="0" fontId="16" fillId="2" borderId="5" xfId="0" quotePrefix="1" applyFont="1" applyFill="1" applyBorder="1" applyAlignment="1">
      <alignment horizontal="center" vertical="center"/>
    </xf>
    <xf numFmtId="167" fontId="16" fillId="0" borderId="7" xfId="1" applyNumberFormat="1" applyFont="1" applyFill="1" applyBorder="1" applyAlignment="1">
      <alignment horizontal="center" vertical="center" wrapText="1"/>
    </xf>
    <xf numFmtId="0" fontId="16" fillId="0" borderId="7" xfId="0" applyFont="1" applyBorder="1" applyAlignment="1">
      <alignment vertical="center" wrapText="1"/>
    </xf>
    <xf numFmtId="14" fontId="16" fillId="0" borderId="3" xfId="0" applyNumberFormat="1" applyFont="1" applyBorder="1" applyAlignment="1">
      <alignment horizontal="center" vertical="center"/>
    </xf>
    <xf numFmtId="166" fontId="16" fillId="0" borderId="5" xfId="0" applyNumberFormat="1" applyFont="1" applyBorder="1" applyAlignment="1">
      <alignment horizontal="center" vertical="center" wrapText="1"/>
    </xf>
    <xf numFmtId="3" fontId="17" fillId="0" borderId="3" xfId="0" applyNumberFormat="1" applyFont="1" applyBorder="1" applyAlignment="1">
      <alignment horizontal="center" vertical="center"/>
    </xf>
    <xf numFmtId="14" fontId="16" fillId="0" borderId="7" xfId="0" applyNumberFormat="1" applyFont="1" applyBorder="1" applyAlignment="1">
      <alignment vertical="center"/>
    </xf>
    <xf numFmtId="3" fontId="17" fillId="0" borderId="2" xfId="0" applyNumberFormat="1" applyFont="1" applyBorder="1" applyAlignment="1">
      <alignment horizontal="center" vertical="center"/>
    </xf>
    <xf numFmtId="14" fontId="16" fillId="0" borderId="6" xfId="0" applyNumberFormat="1" applyFont="1" applyBorder="1" applyAlignment="1">
      <alignment vertical="center"/>
    </xf>
    <xf numFmtId="14" fontId="16" fillId="0" borderId="5" xfId="0" applyNumberFormat="1" applyFont="1" applyBorder="1" applyAlignment="1">
      <alignment vertical="center"/>
    </xf>
    <xf numFmtId="0" fontId="16" fillId="0" borderId="2" xfId="0" applyFont="1" applyBorder="1" applyAlignment="1">
      <alignment wrapText="1"/>
    </xf>
    <xf numFmtId="14" fontId="16" fillId="0" borderId="5" xfId="0" quotePrefix="1" applyNumberFormat="1" applyFont="1" applyBorder="1" applyAlignment="1">
      <alignment vertical="center"/>
    </xf>
    <xf numFmtId="0" fontId="16" fillId="0" borderId="2" xfId="47" applyFont="1" applyBorder="1" applyAlignment="1">
      <alignment vertical="center" wrapText="1"/>
    </xf>
    <xf numFmtId="0" fontId="2" fillId="0" borderId="2" xfId="0" applyFont="1" applyBorder="1" applyAlignment="1">
      <alignment horizontal="left" vertical="center" wrapText="1"/>
    </xf>
    <xf numFmtId="165" fontId="16" fillId="0" borderId="2" xfId="0" quotePrefix="1" applyNumberFormat="1" applyFont="1" applyBorder="1" applyAlignment="1">
      <alignment horizontal="left" vertical="center"/>
    </xf>
    <xf numFmtId="165" fontId="16" fillId="0" borderId="2" xfId="0" applyNumberFormat="1" applyFont="1" applyBorder="1" applyAlignment="1">
      <alignment horizontal="left" vertical="center"/>
    </xf>
    <xf numFmtId="0" fontId="16" fillId="0" borderId="0" xfId="0" quotePrefix="1" applyFont="1" applyAlignment="1">
      <alignment vertical="center"/>
    </xf>
    <xf numFmtId="0" fontId="16" fillId="0" borderId="3" xfId="0" applyFont="1" applyBorder="1" applyAlignment="1">
      <alignment horizontal="left" vertical="center"/>
    </xf>
    <xf numFmtId="165" fontId="16" fillId="0" borderId="3" xfId="0" quotePrefix="1" applyNumberFormat="1" applyFont="1" applyBorder="1" applyAlignment="1">
      <alignment horizontal="left" vertical="center"/>
    </xf>
    <xf numFmtId="0" fontId="16" fillId="5" borderId="2" xfId="0" applyFont="1" applyFill="1" applyBorder="1" applyAlignment="1">
      <alignment horizontal="left" vertical="center" wrapText="1"/>
    </xf>
    <xf numFmtId="49" fontId="16" fillId="11" borderId="0" xfId="0" quotePrefix="1" applyNumberFormat="1" applyFont="1" applyFill="1" applyAlignment="1">
      <alignment vertical="center" wrapText="1"/>
    </xf>
    <xf numFmtId="0" fontId="16" fillId="5" borderId="3" xfId="0" applyFont="1" applyFill="1" applyBorder="1" applyAlignment="1">
      <alignment horizontal="center" vertical="center" wrapText="1"/>
    </xf>
    <xf numFmtId="0" fontId="15" fillId="5" borderId="2" xfId="0" applyFont="1" applyFill="1" applyBorder="1" applyAlignment="1">
      <alignment horizontal="left" vertical="center" wrapText="1"/>
    </xf>
    <xf numFmtId="3" fontId="15" fillId="4" borderId="2" xfId="0" applyNumberFormat="1" applyFont="1" applyFill="1" applyBorder="1" applyAlignment="1">
      <alignment horizontal="center" vertical="center" wrapText="1"/>
    </xf>
    <xf numFmtId="0" fontId="21" fillId="0" borderId="2" xfId="0" applyFont="1" applyBorder="1" applyAlignment="1">
      <alignment horizontal="center" vertical="center"/>
    </xf>
    <xf numFmtId="14" fontId="16" fillId="0" borderId="9" xfId="0" quotePrefix="1" applyNumberFormat="1" applyFont="1" applyBorder="1" applyAlignment="1">
      <alignment horizontal="center" vertical="center"/>
    </xf>
    <xf numFmtId="0" fontId="21" fillId="0" borderId="3" xfId="0" applyFont="1" applyBorder="1" applyAlignment="1">
      <alignment horizontal="center" vertical="center"/>
    </xf>
    <xf numFmtId="14" fontId="16" fillId="0" borderId="3" xfId="0" quotePrefix="1" applyNumberFormat="1" applyFont="1" applyBorder="1" applyAlignment="1">
      <alignment horizontal="center" vertical="center"/>
    </xf>
    <xf numFmtId="3" fontId="15" fillId="0" borderId="2" xfId="0" applyNumberFormat="1" applyFont="1" applyBorder="1" applyAlignment="1">
      <alignment horizontal="center" vertical="center" wrapText="1"/>
    </xf>
    <xf numFmtId="0" fontId="16" fillId="0" borderId="2" xfId="0" applyFont="1" applyBorder="1" applyAlignment="1">
      <alignment horizontal="justify" vertical="center"/>
    </xf>
    <xf numFmtId="0" fontId="16" fillId="5" borderId="4" xfId="0" applyFont="1" applyFill="1" applyBorder="1" applyAlignment="1">
      <alignment horizontal="center" vertical="center" wrapText="1"/>
    </xf>
    <xf numFmtId="0" fontId="16" fillId="0" borderId="3" xfId="1" applyNumberFormat="1" applyFont="1" applyFill="1" applyBorder="1" applyAlignment="1">
      <alignment horizontal="left" vertical="center" wrapText="1"/>
    </xf>
    <xf numFmtId="14" fontId="16" fillId="0" borderId="0" xfId="0" quotePrefix="1" applyNumberFormat="1" applyFont="1" applyAlignment="1">
      <alignment horizontal="center" vertical="center" wrapText="1"/>
    </xf>
    <xf numFmtId="165" fontId="16" fillId="4" borderId="0" xfId="0" quotePrefix="1" applyNumberFormat="1" applyFont="1" applyFill="1" applyAlignment="1">
      <alignment horizontal="center" vertical="center"/>
    </xf>
    <xf numFmtId="3" fontId="15" fillId="0" borderId="3" xfId="0" applyNumberFormat="1" applyFont="1" applyBorder="1" applyAlignment="1">
      <alignment horizontal="center" vertical="center" wrapText="1"/>
    </xf>
    <xf numFmtId="0" fontId="15" fillId="9" borderId="3" xfId="0" applyFont="1" applyFill="1" applyBorder="1" applyAlignment="1">
      <alignment horizontal="center" vertical="center"/>
    </xf>
    <xf numFmtId="14" fontId="15" fillId="9" borderId="3" xfId="0" applyNumberFormat="1" applyFont="1" applyFill="1" applyBorder="1" applyAlignment="1">
      <alignment horizontal="center" vertical="center" wrapText="1"/>
    </xf>
    <xf numFmtId="165" fontId="15" fillId="9" borderId="0" xfId="0" applyNumberFormat="1" applyFont="1" applyFill="1" applyAlignment="1">
      <alignment horizontal="center" vertical="center" wrapText="1"/>
    </xf>
    <xf numFmtId="0" fontId="15" fillId="0" borderId="2" xfId="0" applyFont="1" applyBorder="1" applyAlignment="1">
      <alignment horizontal="left" vertical="center" wrapText="1"/>
    </xf>
    <xf numFmtId="3" fontId="16" fillId="0" borderId="10" xfId="0" applyNumberFormat="1" applyFont="1" applyBorder="1" applyAlignment="1">
      <alignment horizontal="center" vertical="center"/>
    </xf>
    <xf numFmtId="0" fontId="18" fillId="0" borderId="2" xfId="0" applyFont="1" applyBorder="1" applyAlignment="1">
      <alignment horizontal="center" vertical="center"/>
    </xf>
    <xf numFmtId="0" fontId="18" fillId="0" borderId="2" xfId="0" applyFont="1" applyBorder="1" applyAlignment="1">
      <alignment horizontal="left" vertical="center" wrapText="1"/>
    </xf>
    <xf numFmtId="3" fontId="18" fillId="0" borderId="2" xfId="0" applyNumberFormat="1" applyFont="1" applyBorder="1" applyAlignment="1">
      <alignment horizontal="center" vertical="center" wrapText="1"/>
    </xf>
    <xf numFmtId="0" fontId="18" fillId="0" borderId="2" xfId="0" applyFont="1" applyBorder="1" applyAlignment="1">
      <alignment horizontal="center" vertical="center" wrapText="1"/>
    </xf>
    <xf numFmtId="166" fontId="18" fillId="2" borderId="2" xfId="0" applyNumberFormat="1" applyFont="1" applyFill="1" applyBorder="1" applyAlignment="1">
      <alignment horizontal="center" vertical="center" wrapText="1"/>
    </xf>
    <xf numFmtId="168" fontId="18" fillId="0" borderId="2" xfId="0" applyNumberFormat="1" applyFont="1" applyBorder="1" applyAlignment="1">
      <alignment horizontal="center" vertical="center" wrapText="1"/>
    </xf>
    <xf numFmtId="0" fontId="18" fillId="5" borderId="5" xfId="0" applyFont="1" applyFill="1" applyBorder="1" applyAlignment="1">
      <alignment horizontal="center" vertical="center" wrapText="1"/>
    </xf>
    <xf numFmtId="0" fontId="18" fillId="0" borderId="5" xfId="0" applyFont="1" applyBorder="1" applyAlignment="1">
      <alignment horizontal="center" vertical="center"/>
    </xf>
    <xf numFmtId="165" fontId="18" fillId="0" borderId="2" xfId="0" quotePrefix="1" applyNumberFormat="1" applyFont="1" applyBorder="1" applyAlignment="1">
      <alignment horizontal="center" vertical="center"/>
    </xf>
    <xf numFmtId="0" fontId="18" fillId="2" borderId="2" xfId="0" applyFont="1" applyFill="1" applyBorder="1" applyAlignment="1">
      <alignment horizontal="left" vertical="center" wrapText="1"/>
    </xf>
    <xf numFmtId="3" fontId="18" fillId="0" borderId="2" xfId="0" applyNumberFormat="1" applyFont="1" applyBorder="1" applyAlignment="1">
      <alignment horizontal="center" vertical="center"/>
    </xf>
    <xf numFmtId="0" fontId="18" fillId="2" borderId="2" xfId="0" applyFont="1" applyFill="1" applyBorder="1" applyAlignment="1">
      <alignment horizontal="center" vertical="center"/>
    </xf>
    <xf numFmtId="166" fontId="18" fillId="0" borderId="2" xfId="0" applyNumberFormat="1" applyFont="1" applyBorder="1" applyAlignment="1">
      <alignment horizontal="center" vertical="center" wrapText="1"/>
    </xf>
    <xf numFmtId="0" fontId="18" fillId="2" borderId="5" xfId="0" applyFont="1" applyFill="1" applyBorder="1" applyAlignment="1">
      <alignment horizontal="center" vertical="center" wrapText="1"/>
    </xf>
    <xf numFmtId="3" fontId="18" fillId="2" borderId="5" xfId="0" quotePrefix="1" applyNumberFormat="1" applyFont="1" applyFill="1" applyBorder="1" applyAlignment="1">
      <alignment horizontal="center" vertical="center"/>
    </xf>
    <xf numFmtId="165" fontId="18" fillId="2" borderId="2" xfId="0" quotePrefix="1" applyNumberFormat="1" applyFont="1" applyFill="1" applyBorder="1" applyAlignment="1">
      <alignment horizontal="center" vertical="center"/>
    </xf>
    <xf numFmtId="165" fontId="18" fillId="2" borderId="0" xfId="0" quotePrefix="1" applyNumberFormat="1" applyFont="1" applyFill="1" applyAlignment="1">
      <alignment horizontal="center" vertical="center"/>
    </xf>
    <xf numFmtId="0" fontId="18" fillId="2" borderId="0" xfId="0" applyFont="1" applyFill="1" applyAlignment="1">
      <alignment horizontal="center" vertical="center"/>
    </xf>
    <xf numFmtId="3" fontId="18"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165" fontId="18" fillId="0" borderId="0" xfId="0" quotePrefix="1" applyNumberFormat="1" applyFont="1" applyAlignment="1">
      <alignment horizontal="center" vertical="center"/>
    </xf>
    <xf numFmtId="0" fontId="18" fillId="0" borderId="0" xfId="0" applyFont="1" applyAlignment="1">
      <alignment vertical="center"/>
    </xf>
    <xf numFmtId="167" fontId="18" fillId="0" borderId="2" xfId="1" applyNumberFormat="1" applyFont="1" applyFill="1" applyBorder="1" applyAlignment="1">
      <alignment horizontal="left" vertical="center" wrapText="1"/>
    </xf>
    <xf numFmtId="0" fontId="18" fillId="0" borderId="5" xfId="0" quotePrefix="1" applyFont="1" applyBorder="1" applyAlignment="1">
      <alignment horizontal="center" vertical="center" wrapText="1"/>
    </xf>
    <xf numFmtId="165" fontId="18" fillId="0" borderId="2" xfId="0" applyNumberFormat="1" applyFont="1" applyBorder="1" applyAlignment="1">
      <alignment horizontal="center" vertical="center"/>
    </xf>
    <xf numFmtId="49" fontId="18" fillId="0" borderId="2" xfId="0" quotePrefix="1" applyNumberFormat="1" applyFont="1" applyBorder="1" applyAlignment="1">
      <alignment vertical="center" wrapText="1"/>
    </xf>
    <xf numFmtId="49" fontId="18" fillId="0" borderId="0" xfId="0" quotePrefix="1" applyNumberFormat="1" applyFont="1" applyAlignment="1">
      <alignment vertical="center" wrapText="1"/>
    </xf>
    <xf numFmtId="0" fontId="18" fillId="0" borderId="3" xfId="0" applyFont="1" applyBorder="1" applyAlignment="1">
      <alignment horizontal="left" vertical="center" wrapText="1"/>
    </xf>
    <xf numFmtId="0" fontId="18" fillId="0" borderId="3" xfId="0" applyFont="1" applyBorder="1" applyAlignment="1">
      <alignment horizontal="left" vertical="center"/>
    </xf>
    <xf numFmtId="0" fontId="22" fillId="5" borderId="3" xfId="0" applyFont="1" applyFill="1" applyBorder="1" applyAlignment="1">
      <alignment horizontal="center" vertical="center" wrapText="1"/>
    </xf>
    <xf numFmtId="165" fontId="18" fillId="0" borderId="3" xfId="0" quotePrefix="1" applyNumberFormat="1" applyFont="1" applyBorder="1" applyAlignment="1">
      <alignment horizontal="left" vertical="center"/>
    </xf>
    <xf numFmtId="166" fontId="18" fillId="0" borderId="2" xfId="0" applyNumberFormat="1" applyFont="1" applyBorder="1" applyAlignment="1">
      <alignment vertical="center" wrapText="1"/>
    </xf>
    <xf numFmtId="0" fontId="18" fillId="0" borderId="2" xfId="0" applyFont="1" applyBorder="1" applyAlignment="1">
      <alignment vertical="center"/>
    </xf>
    <xf numFmtId="165" fontId="18" fillId="0" borderId="2" xfId="0" quotePrefix="1" applyNumberFormat="1" applyFont="1" applyBorder="1" applyAlignment="1">
      <alignment vertical="center"/>
    </xf>
    <xf numFmtId="165" fontId="18" fillId="0" borderId="0" xfId="0" applyNumberFormat="1" applyFont="1" applyAlignment="1">
      <alignment horizontal="center" vertical="center"/>
    </xf>
    <xf numFmtId="0" fontId="22" fillId="5" borderId="5" xfId="0" applyFont="1" applyFill="1" applyBorder="1" applyAlignment="1">
      <alignment horizontal="center" vertical="center" wrapText="1"/>
    </xf>
    <xf numFmtId="0" fontId="18" fillId="0" borderId="3" xfId="0" applyFont="1" applyBorder="1" applyAlignment="1">
      <alignment vertical="center" wrapText="1"/>
    </xf>
    <xf numFmtId="167" fontId="18" fillId="0" borderId="3" xfId="1" applyNumberFormat="1" applyFont="1" applyFill="1" applyBorder="1" applyAlignment="1">
      <alignment horizontal="left" vertical="center" wrapText="1"/>
    </xf>
    <xf numFmtId="0" fontId="18" fillId="0" borderId="3" xfId="0" applyFont="1" applyBorder="1" applyAlignment="1">
      <alignment horizontal="center" vertical="center"/>
    </xf>
    <xf numFmtId="0" fontId="18" fillId="5" borderId="2" xfId="0" applyFont="1" applyFill="1" applyBorder="1" applyAlignment="1">
      <alignment vertical="center"/>
    </xf>
    <xf numFmtId="165" fontId="18" fillId="0" borderId="3" xfId="0" quotePrefix="1" applyNumberFormat="1" applyFont="1" applyBorder="1" applyAlignment="1">
      <alignment horizontal="center" vertical="center"/>
    </xf>
    <xf numFmtId="0" fontId="18" fillId="0" borderId="0" xfId="0" quotePrefix="1" applyFont="1" applyAlignment="1">
      <alignment horizontal="center" vertical="center"/>
    </xf>
    <xf numFmtId="0" fontId="18" fillId="0" borderId="4" xfId="0" applyFont="1" applyBorder="1" applyAlignment="1">
      <alignment horizontal="left" vertical="center" wrapText="1"/>
    </xf>
    <xf numFmtId="0" fontId="18" fillId="0" borderId="5" xfId="0" quotePrefix="1" applyFont="1" applyBorder="1" applyAlignment="1">
      <alignment horizontal="center" vertical="center"/>
    </xf>
    <xf numFmtId="0" fontId="18" fillId="0" borderId="2" xfId="1" applyNumberFormat="1" applyFont="1" applyFill="1" applyBorder="1" applyAlignment="1">
      <alignment horizontal="left" vertical="center" wrapText="1"/>
    </xf>
    <xf numFmtId="3" fontId="18" fillId="0" borderId="4" xfId="0" applyNumberFormat="1" applyFont="1" applyBorder="1" applyAlignment="1">
      <alignment horizontal="center" vertical="center"/>
    </xf>
    <xf numFmtId="168" fontId="18" fillId="0" borderId="4" xfId="0" applyNumberFormat="1" applyFont="1" applyBorder="1" applyAlignment="1">
      <alignment horizontal="center" vertical="center"/>
    </xf>
    <xf numFmtId="3" fontId="18" fillId="0" borderId="5" xfId="0" applyNumberFormat="1" applyFont="1" applyBorder="1" applyAlignment="1">
      <alignment horizontal="center" vertical="center"/>
    </xf>
    <xf numFmtId="14" fontId="18" fillId="0" borderId="0" xfId="0" applyNumberFormat="1" applyFont="1" applyAlignment="1">
      <alignment horizontal="center" vertical="center"/>
    </xf>
    <xf numFmtId="166" fontId="18" fillId="0" borderId="2" xfId="0" applyNumberFormat="1" applyFont="1" applyBorder="1" applyAlignment="1">
      <alignment horizontal="center" vertical="center"/>
    </xf>
    <xf numFmtId="167" fontId="18" fillId="0" borderId="5" xfId="1" applyNumberFormat="1" applyFont="1" applyFill="1" applyBorder="1" applyAlignment="1">
      <alignment horizontal="center" vertical="center" wrapText="1"/>
    </xf>
    <xf numFmtId="0" fontId="18" fillId="0" borderId="2" xfId="0" quotePrefix="1" applyFont="1" applyBorder="1" applyAlignment="1">
      <alignment vertical="center"/>
    </xf>
    <xf numFmtId="166" fontId="16" fillId="0" borderId="3" xfId="0" applyNumberFormat="1" applyFont="1" applyBorder="1" applyAlignment="1">
      <alignment horizontal="center" vertical="center" wrapText="1"/>
    </xf>
    <xf numFmtId="0" fontId="17" fillId="0" borderId="2" xfId="0" applyFont="1" applyBorder="1" applyAlignment="1">
      <alignment horizontal="center" vertical="center"/>
    </xf>
    <xf numFmtId="0" fontId="17" fillId="0" borderId="2" xfId="0" applyFont="1" applyBorder="1" applyAlignment="1">
      <alignment horizontal="center" vertical="center" wrapText="1"/>
    </xf>
    <xf numFmtId="166" fontId="17" fillId="0" borderId="2" xfId="0" applyNumberFormat="1" applyFont="1" applyBorder="1" applyAlignment="1">
      <alignment horizontal="center" vertical="center" wrapText="1"/>
    </xf>
    <xf numFmtId="168" fontId="17" fillId="0" borderId="2" xfId="0" applyNumberFormat="1" applyFont="1" applyBorder="1" applyAlignment="1">
      <alignment horizontal="center" vertical="center" wrapText="1"/>
    </xf>
    <xf numFmtId="0" fontId="17" fillId="5" borderId="5" xfId="0" applyFont="1" applyFill="1" applyBorder="1" applyAlignment="1">
      <alignment horizontal="center" vertical="center" wrapText="1"/>
    </xf>
    <xf numFmtId="0" fontId="17" fillId="0" borderId="5" xfId="0" applyFont="1" applyBorder="1" applyAlignment="1">
      <alignment horizontal="center" vertical="center" wrapText="1"/>
    </xf>
    <xf numFmtId="165" fontId="17" fillId="0" borderId="2" xfId="0" quotePrefix="1" applyNumberFormat="1" applyFont="1" applyBorder="1" applyAlignment="1">
      <alignment horizontal="center" vertical="center"/>
    </xf>
    <xf numFmtId="0" fontId="17" fillId="0" borderId="0" xfId="0" applyFont="1" applyAlignment="1">
      <alignment horizontal="center" vertical="center"/>
    </xf>
    <xf numFmtId="14" fontId="16" fillId="0" borderId="2" xfId="0" quotePrefix="1" applyNumberFormat="1" applyFont="1" applyBorder="1" applyAlignment="1">
      <alignment horizontal="center" vertical="center" wrapText="1"/>
    </xf>
    <xf numFmtId="167" fontId="17" fillId="0" borderId="2" xfId="1" applyNumberFormat="1" applyFont="1" applyFill="1" applyBorder="1" applyAlignment="1">
      <alignment horizontal="left" vertical="center" wrapText="1"/>
    </xf>
    <xf numFmtId="3" fontId="17" fillId="0" borderId="2" xfId="0" applyNumberFormat="1" applyFont="1" applyBorder="1" applyAlignment="1">
      <alignment horizontal="center" vertical="center" wrapText="1"/>
    </xf>
    <xf numFmtId="166" fontId="17" fillId="0" borderId="2" xfId="0" quotePrefix="1" applyNumberFormat="1" applyFont="1" applyBorder="1" applyAlignment="1">
      <alignment horizontal="center" vertical="center"/>
    </xf>
    <xf numFmtId="165" fontId="17" fillId="0" borderId="0" xfId="0" quotePrefix="1" applyNumberFormat="1" applyFont="1" applyAlignment="1">
      <alignment horizontal="center" vertical="center"/>
    </xf>
    <xf numFmtId="3" fontId="16" fillId="0" borderId="2" xfId="0" quotePrefix="1" applyNumberFormat="1" applyFont="1" applyBorder="1" applyAlignment="1">
      <alignment horizontal="center" vertical="center"/>
    </xf>
    <xf numFmtId="3" fontId="15" fillId="4"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16" fillId="0" borderId="4" xfId="0" applyFont="1" applyBorder="1" applyAlignment="1">
      <alignment horizontal="justify" vertical="center"/>
    </xf>
    <xf numFmtId="3" fontId="16" fillId="0" borderId="4" xfId="0" applyNumberFormat="1" applyFont="1" applyBorder="1" applyAlignment="1">
      <alignment horizontal="center" vertical="center"/>
    </xf>
    <xf numFmtId="0" fontId="16" fillId="0" borderId="4" xfId="0" applyFont="1" applyBorder="1" applyAlignment="1">
      <alignment horizontal="center" vertical="center"/>
    </xf>
    <xf numFmtId="0" fontId="16" fillId="0" borderId="6" xfId="0" quotePrefix="1" applyFont="1" applyBorder="1" applyAlignment="1">
      <alignment vertical="center" wrapText="1"/>
    </xf>
    <xf numFmtId="165" fontId="16" fillId="0" borderId="4" xfId="0" quotePrefix="1" applyNumberFormat="1" applyFont="1" applyBorder="1" applyAlignment="1">
      <alignment horizontal="center" vertical="center"/>
    </xf>
    <xf numFmtId="0" fontId="16" fillId="4" borderId="2" xfId="0" applyFont="1" applyFill="1" applyBorder="1" applyAlignment="1">
      <alignment vertical="center" wrapText="1"/>
    </xf>
    <xf numFmtId="0" fontId="16" fillId="4" borderId="2" xfId="0" applyFont="1" applyFill="1" applyBorder="1" applyAlignment="1">
      <alignment horizontal="center" vertical="center"/>
    </xf>
    <xf numFmtId="0" fontId="16" fillId="4" borderId="2" xfId="0" applyFont="1" applyFill="1" applyBorder="1" applyAlignment="1">
      <alignment horizontal="center" vertical="center" wrapText="1"/>
    </xf>
    <xf numFmtId="165" fontId="16" fillId="4" borderId="2" xfId="0" quotePrefix="1" applyNumberFormat="1" applyFont="1" applyFill="1" applyBorder="1" applyAlignment="1">
      <alignment horizontal="center" vertical="center"/>
    </xf>
    <xf numFmtId="0" fontId="16" fillId="4" borderId="0" xfId="0" applyFont="1" applyFill="1" applyAlignment="1">
      <alignment vertical="center"/>
    </xf>
    <xf numFmtId="0" fontId="16" fillId="4" borderId="0" xfId="0" quotePrefix="1" applyFont="1" applyFill="1" applyAlignment="1">
      <alignment horizontal="center" vertical="center"/>
    </xf>
    <xf numFmtId="0" fontId="16" fillId="4" borderId="2" xfId="0" applyFont="1" applyFill="1" applyBorder="1" applyAlignment="1">
      <alignment horizontal="left" vertical="center" wrapText="1"/>
    </xf>
    <xf numFmtId="3" fontId="16" fillId="4" borderId="2" xfId="0" applyNumberFormat="1" applyFont="1" applyFill="1" applyBorder="1" applyAlignment="1">
      <alignment horizontal="center" vertical="center"/>
    </xf>
    <xf numFmtId="0" fontId="16" fillId="4" borderId="5" xfId="0" applyFont="1" applyFill="1" applyBorder="1" applyAlignment="1">
      <alignment horizontal="center" vertical="center"/>
    </xf>
    <xf numFmtId="49" fontId="17" fillId="4" borderId="2" xfId="0" quotePrefix="1" applyNumberFormat="1" applyFont="1" applyFill="1" applyBorder="1" applyAlignment="1">
      <alignment vertical="center" wrapText="1"/>
    </xf>
    <xf numFmtId="49" fontId="18" fillId="7" borderId="0" xfId="0" quotePrefix="1" applyNumberFormat="1" applyFont="1" applyFill="1" applyAlignment="1">
      <alignment vertical="center" wrapText="1"/>
    </xf>
    <xf numFmtId="14" fontId="18" fillId="0" borderId="2" xfId="0" quotePrefix="1" applyNumberFormat="1" applyFont="1" applyBorder="1" applyAlignment="1">
      <alignment vertical="center"/>
    </xf>
    <xf numFmtId="14" fontId="18" fillId="0" borderId="0" xfId="0" quotePrefix="1" applyNumberFormat="1" applyFont="1" applyAlignment="1">
      <alignment vertical="center"/>
    </xf>
    <xf numFmtId="168" fontId="16" fillId="0" borderId="4" xfId="0" applyNumberFormat="1" applyFont="1" applyBorder="1" applyAlignment="1">
      <alignment horizontal="center" vertical="center" wrapText="1"/>
    </xf>
    <xf numFmtId="0" fontId="22" fillId="5" borderId="2" xfId="0" applyFont="1" applyFill="1" applyBorder="1" applyAlignment="1">
      <alignment horizontal="center" vertical="center"/>
    </xf>
    <xf numFmtId="0" fontId="16" fillId="0" borderId="0" xfId="0" quotePrefix="1" applyFont="1" applyAlignment="1">
      <alignment horizontal="left" vertical="center"/>
    </xf>
    <xf numFmtId="0" fontId="17" fillId="0" borderId="0" xfId="0" applyFont="1" applyAlignment="1">
      <alignment horizontal="center" vertical="center" wrapText="1"/>
    </xf>
    <xf numFmtId="49" fontId="16" fillId="6" borderId="2" xfId="0" quotePrefix="1" applyNumberFormat="1" applyFont="1" applyFill="1" applyBorder="1" applyAlignment="1">
      <alignment vertical="center" wrapText="1"/>
    </xf>
    <xf numFmtId="0" fontId="16" fillId="0" borderId="0" xfId="0" quotePrefix="1" applyFont="1"/>
    <xf numFmtId="0" fontId="16" fillId="0" borderId="0" xfId="0" quotePrefix="1" applyFont="1" applyAlignment="1">
      <alignment wrapText="1"/>
    </xf>
    <xf numFmtId="0" fontId="23" fillId="0" borderId="0" xfId="0" applyFont="1" applyAlignment="1">
      <alignment vertical="center" wrapText="1"/>
    </xf>
    <xf numFmtId="14" fontId="17" fillId="0" borderId="0" xfId="0" quotePrefix="1" applyNumberFormat="1" applyFont="1" applyAlignment="1">
      <alignment horizontal="center" vertical="center"/>
    </xf>
    <xf numFmtId="0" fontId="16" fillId="0" borderId="0" xfId="0" quotePrefix="1" applyFont="1" applyAlignment="1">
      <alignment horizontal="center" vertical="center" wrapText="1"/>
    </xf>
    <xf numFmtId="0" fontId="25" fillId="0" borderId="0" xfId="0" applyFont="1" applyAlignment="1">
      <alignment vertical="center"/>
    </xf>
    <xf numFmtId="3" fontId="17" fillId="0" borderId="7" xfId="0" applyNumberFormat="1" applyFont="1" applyBorder="1" applyAlignment="1">
      <alignment horizontal="center" vertical="center" wrapText="1"/>
    </xf>
    <xf numFmtId="167" fontId="17" fillId="0" borderId="7" xfId="1" applyNumberFormat="1" applyFont="1" applyFill="1" applyBorder="1" applyAlignment="1">
      <alignment horizontal="center" vertical="center" wrapText="1"/>
    </xf>
    <xf numFmtId="0" fontId="17" fillId="0" borderId="3" xfId="0" quotePrefix="1" applyFont="1" applyBorder="1" applyAlignment="1">
      <alignment vertical="center"/>
    </xf>
    <xf numFmtId="0" fontId="16" fillId="0" borderId="12" xfId="0" applyFont="1" applyBorder="1" applyAlignment="1">
      <alignment horizontal="center" vertical="center"/>
    </xf>
    <xf numFmtId="165" fontId="16" fillId="0" borderId="11" xfId="0" applyNumberFormat="1" applyFont="1" applyBorder="1" applyAlignment="1">
      <alignment horizontal="center" vertical="center" wrapText="1"/>
    </xf>
    <xf numFmtId="0" fontId="19" fillId="0" borderId="2" xfId="0" applyFont="1" applyBorder="1" applyAlignment="1">
      <alignment horizontal="left" vertical="center" wrapText="1"/>
    </xf>
    <xf numFmtId="0" fontId="26" fillId="0" borderId="2" xfId="0" applyFont="1" applyBorder="1" applyAlignment="1">
      <alignment horizontal="left" vertical="center" wrapText="1"/>
    </xf>
    <xf numFmtId="0" fontId="16" fillId="0" borderId="2" xfId="128" applyNumberFormat="1" applyFont="1" applyFill="1" applyBorder="1" applyAlignment="1">
      <alignment vertical="center" wrapText="1"/>
    </xf>
    <xf numFmtId="165" fontId="16" fillId="0" borderId="2" xfId="0" applyNumberFormat="1" applyFont="1" applyBorder="1" applyAlignment="1">
      <alignment horizontal="left" vertical="center" wrapText="1"/>
    </xf>
    <xf numFmtId="165" fontId="16" fillId="13" borderId="2" xfId="0" applyNumberFormat="1" applyFont="1" applyFill="1" applyBorder="1" applyAlignment="1">
      <alignment horizontal="left" vertical="center"/>
    </xf>
    <xf numFmtId="165" fontId="16" fillId="13" borderId="2" xfId="0" applyNumberFormat="1" applyFont="1" applyFill="1" applyBorder="1" applyAlignment="1">
      <alignment horizontal="center" vertical="center"/>
    </xf>
    <xf numFmtId="0" fontId="16" fillId="0" borderId="2" xfId="0" quotePrefix="1" applyFont="1" applyBorder="1" applyAlignment="1">
      <alignment horizontal="left" vertical="center" wrapText="1"/>
    </xf>
    <xf numFmtId="165" fontId="16" fillId="0" borderId="2" xfId="0" quotePrefix="1" applyNumberFormat="1" applyFont="1" applyBorder="1" applyAlignment="1">
      <alignment horizontal="left" vertical="center" wrapText="1"/>
    </xf>
    <xf numFmtId="0" fontId="16" fillId="0" borderId="2" xfId="128" applyNumberFormat="1" applyFont="1" applyFill="1" applyBorder="1" applyAlignment="1" applyProtection="1">
      <alignment horizontal="left" vertical="center" wrapText="1"/>
      <protection locked="0"/>
    </xf>
    <xf numFmtId="165" fontId="16" fillId="13" borderId="2" xfId="0" quotePrefix="1" applyNumberFormat="1" applyFont="1" applyFill="1" applyBorder="1" applyAlignment="1">
      <alignment horizontal="center" vertical="center"/>
    </xf>
    <xf numFmtId="167" fontId="16" fillId="0" borderId="6" xfId="1" applyNumberFormat="1" applyFont="1" applyFill="1" applyBorder="1" applyAlignment="1">
      <alignment horizontal="center" vertical="center" wrapText="1"/>
    </xf>
    <xf numFmtId="0" fontId="16" fillId="0" borderId="6" xfId="0" quotePrefix="1" applyFont="1" applyBorder="1" applyAlignment="1">
      <alignment horizontal="center" vertical="center"/>
    </xf>
    <xf numFmtId="165" fontId="16" fillId="0" borderId="2" xfId="0" quotePrefix="1" applyNumberFormat="1" applyFont="1" applyBorder="1" applyAlignment="1">
      <alignment vertical="center" wrapText="1"/>
    </xf>
    <xf numFmtId="0" fontId="16" fillId="0" borderId="2" xfId="128" applyNumberFormat="1" applyFont="1" applyFill="1" applyBorder="1" applyAlignment="1">
      <alignment horizontal="left" vertical="center" wrapText="1"/>
    </xf>
    <xf numFmtId="167" fontId="16" fillId="0" borderId="2" xfId="128" applyNumberFormat="1" applyFont="1" applyFill="1" applyBorder="1" applyAlignment="1">
      <alignment horizontal="left" vertical="center" wrapText="1"/>
    </xf>
    <xf numFmtId="0" fontId="17" fillId="0" borderId="2" xfId="128" applyNumberFormat="1" applyFont="1" applyFill="1" applyBorder="1" applyAlignment="1">
      <alignment horizontal="left" vertical="center" wrapText="1"/>
    </xf>
    <xf numFmtId="0" fontId="24" fillId="5" borderId="2" xfId="0" applyFont="1" applyFill="1" applyBorder="1" applyAlignment="1">
      <alignment vertical="center" wrapText="1"/>
    </xf>
    <xf numFmtId="0" fontId="27" fillId="0" borderId="2" xfId="0" applyFont="1" applyBorder="1" applyAlignment="1">
      <alignment horizontal="left" vertical="center" wrapText="1"/>
    </xf>
    <xf numFmtId="0" fontId="28" fillId="0" borderId="2" xfId="0" applyFont="1" applyBorder="1" applyAlignment="1">
      <alignment vertical="center" wrapText="1"/>
    </xf>
    <xf numFmtId="0" fontId="29" fillId="0" borderId="2" xfId="0" applyFont="1" applyBorder="1" applyAlignment="1">
      <alignment vertical="center" wrapText="1"/>
    </xf>
    <xf numFmtId="0" fontId="16" fillId="0" borderId="13" xfId="0" applyFont="1" applyBorder="1" applyAlignment="1">
      <alignment horizontal="center" vertical="center" wrapText="1"/>
    </xf>
    <xf numFmtId="0" fontId="23" fillId="0" borderId="2" xfId="0" applyFont="1" applyBorder="1" applyAlignment="1">
      <alignment vertical="center" wrapText="1"/>
    </xf>
    <xf numFmtId="0" fontId="16" fillId="0" borderId="9" xfId="0" applyFont="1" applyBorder="1" applyAlignment="1">
      <alignment vertical="center"/>
    </xf>
    <xf numFmtId="165" fontId="16" fillId="0" borderId="0" xfId="0" quotePrefix="1" applyNumberFormat="1" applyFont="1" applyAlignment="1">
      <alignment vertical="center" wrapText="1"/>
    </xf>
    <xf numFmtId="49" fontId="16" fillId="0" borderId="2" xfId="0" applyNumberFormat="1" applyFont="1" applyBorder="1" applyAlignment="1">
      <alignment horizontal="left" vertical="center"/>
    </xf>
    <xf numFmtId="0" fontId="17" fillId="2" borderId="2" xfId="0" applyFont="1" applyFill="1" applyBorder="1" applyAlignment="1">
      <alignment horizontal="left" vertical="center" wrapText="1"/>
    </xf>
    <xf numFmtId="49" fontId="16" fillId="0" borderId="2" xfId="0" quotePrefix="1" applyNumberFormat="1" applyFont="1" applyBorder="1" applyAlignment="1">
      <alignment horizontal="left" vertical="center"/>
    </xf>
    <xf numFmtId="49" fontId="16" fillId="0" borderId="0" xfId="0" applyNumberFormat="1" applyFont="1" applyAlignment="1">
      <alignment horizontal="left" vertical="center"/>
    </xf>
    <xf numFmtId="49" fontId="17" fillId="11" borderId="9" xfId="0" quotePrefix="1" applyNumberFormat="1" applyFont="1" applyFill="1" applyBorder="1" applyAlignment="1">
      <alignment vertical="center" wrapText="1"/>
    </xf>
    <xf numFmtId="49" fontId="16" fillId="0" borderId="5" xfId="0" quotePrefix="1" applyNumberFormat="1" applyFont="1" applyBorder="1" applyAlignment="1">
      <alignment horizontal="left" vertical="center"/>
    </xf>
    <xf numFmtId="169" fontId="16" fillId="0" borderId="2" xfId="15" applyNumberFormat="1" applyFont="1" applyFill="1" applyBorder="1" applyAlignment="1">
      <alignment horizontal="left" vertical="center" wrapText="1"/>
    </xf>
    <xf numFmtId="0" fontId="16" fillId="0" borderId="2" xfId="0" applyFont="1" applyBorder="1"/>
    <xf numFmtId="0" fontId="16" fillId="0" borderId="2" xfId="0" quotePrefix="1" applyFont="1" applyBorder="1"/>
    <xf numFmtId="0" fontId="16" fillId="0" borderId="0" xfId="0" applyFont="1" applyAlignment="1">
      <alignment wrapText="1"/>
    </xf>
    <xf numFmtId="167" fontId="16" fillId="0" borderId="2" xfId="1" applyNumberFormat="1" applyFont="1" applyFill="1" applyBorder="1" applyAlignment="1">
      <alignment vertical="center" wrapText="1"/>
    </xf>
    <xf numFmtId="0" fontId="17" fillId="0" borderId="2" xfId="15" applyNumberFormat="1" applyFont="1" applyFill="1" applyBorder="1" applyAlignment="1">
      <alignment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cellXfs>
  <cellStyles count="129">
    <cellStyle name="Comma" xfId="1" builtinId="3"/>
    <cellStyle name="Comma 2" xfId="15" xr:uid="{00000000-0005-0000-0000-000001000000}"/>
    <cellStyle name="Comma 2 2" xfId="13" xr:uid="{00000000-0005-0000-0000-000002000000}"/>
    <cellStyle name="Comma 2 3" xfId="14" xr:uid="{00000000-0005-0000-0000-000003000000}"/>
    <cellStyle name="Comma 2 4" xfId="12" xr:uid="{00000000-0005-0000-0000-000004000000}"/>
    <cellStyle name="Comma 2 5" xfId="128" xr:uid="{00000000-0005-0000-0000-000005000000}"/>
    <cellStyle name="Comma 3" xfId="16" xr:uid="{00000000-0005-0000-0000-000006000000}"/>
    <cellStyle name="Comma 4" xfId="17" xr:uid="{00000000-0005-0000-0000-000007000000}"/>
    <cellStyle name="Comma 5" xfId="20" xr:uid="{00000000-0005-0000-0000-000008000000}"/>
    <cellStyle name="Comma 5 2" xfId="21" xr:uid="{00000000-0005-0000-0000-000009000000}"/>
    <cellStyle name="Comma 5 2 2" xfId="5" xr:uid="{00000000-0005-0000-0000-00000A000000}"/>
    <cellStyle name="Comma 5 3" xfId="22" xr:uid="{00000000-0005-0000-0000-00000B000000}"/>
    <cellStyle name="Hyperlink 2" xfId="24" xr:uid="{00000000-0005-0000-0000-00000C000000}"/>
    <cellStyle name="Hyperlink 2 2" xfId="19" xr:uid="{00000000-0005-0000-0000-00000D000000}"/>
    <cellStyle name="Normal" xfId="0" builtinId="0"/>
    <cellStyle name="Normal 10" xfId="25" xr:uid="{00000000-0005-0000-0000-00000F000000}"/>
    <cellStyle name="Normal 10 2" xfId="10" xr:uid="{00000000-0005-0000-0000-000010000000}"/>
    <cellStyle name="Normal 10 2 2" xfId="26" xr:uid="{00000000-0005-0000-0000-000011000000}"/>
    <cellStyle name="Normal 10 2 3" xfId="27" xr:uid="{00000000-0005-0000-0000-000012000000}"/>
    <cellStyle name="Normal 10 2 4" xfId="29" xr:uid="{00000000-0005-0000-0000-000013000000}"/>
    <cellStyle name="Normal 10 2 4 2" xfId="30" xr:uid="{00000000-0005-0000-0000-000014000000}"/>
    <cellStyle name="Normal 10 2 5" xfId="2" xr:uid="{00000000-0005-0000-0000-000015000000}"/>
    <cellStyle name="Normal 10 3" xfId="31" xr:uid="{00000000-0005-0000-0000-000016000000}"/>
    <cellStyle name="Normal 10 4" xfId="32" xr:uid="{00000000-0005-0000-0000-000017000000}"/>
    <cellStyle name="Normal 10 4 2" xfId="33" xr:uid="{00000000-0005-0000-0000-000018000000}"/>
    <cellStyle name="Normal 10 5" xfId="34" xr:uid="{00000000-0005-0000-0000-000019000000}"/>
    <cellStyle name="Normal 11" xfId="35" xr:uid="{00000000-0005-0000-0000-00001A000000}"/>
    <cellStyle name="Normal 11 2" xfId="36" xr:uid="{00000000-0005-0000-0000-00001B000000}"/>
    <cellStyle name="Normal 11 3" xfId="37" xr:uid="{00000000-0005-0000-0000-00001C000000}"/>
    <cellStyle name="Normal 12" xfId="38" xr:uid="{00000000-0005-0000-0000-00001D000000}"/>
    <cellStyle name="Normal 12 2" xfId="39" xr:uid="{00000000-0005-0000-0000-00001E000000}"/>
    <cellStyle name="Normal 13" xfId="40" xr:uid="{00000000-0005-0000-0000-00001F000000}"/>
    <cellStyle name="Normal 13 2" xfId="41" xr:uid="{00000000-0005-0000-0000-000020000000}"/>
    <cellStyle name="Normal 13 2 2" xfId="42" xr:uid="{00000000-0005-0000-0000-000021000000}"/>
    <cellStyle name="Normal 13 3" xfId="43" xr:uid="{00000000-0005-0000-0000-000022000000}"/>
    <cellStyle name="Normal 14" xfId="44" xr:uid="{00000000-0005-0000-0000-000023000000}"/>
    <cellStyle name="Normal 14 2" xfId="45" xr:uid="{00000000-0005-0000-0000-000024000000}"/>
    <cellStyle name="Normal 14 2 2" xfId="7" xr:uid="{00000000-0005-0000-0000-000025000000}"/>
    <cellStyle name="Normal 14 3" xfId="46" xr:uid="{00000000-0005-0000-0000-000026000000}"/>
    <cellStyle name="Normal 15" xfId="47" xr:uid="{00000000-0005-0000-0000-000027000000}"/>
    <cellStyle name="Normal 16" xfId="127" xr:uid="{00000000-0005-0000-0000-000028000000}"/>
    <cellStyle name="Normal 2" xfId="48" xr:uid="{00000000-0005-0000-0000-000029000000}"/>
    <cellStyle name="Normal 2 2" xfId="49" xr:uid="{00000000-0005-0000-0000-00002A000000}"/>
    <cellStyle name="Normal 2 2 2" xfId="50" xr:uid="{00000000-0005-0000-0000-00002B000000}"/>
    <cellStyle name="Normal 2 3" xfId="51" xr:uid="{00000000-0005-0000-0000-00002C000000}"/>
    <cellStyle name="Normal 2 3 2" xfId="52" xr:uid="{00000000-0005-0000-0000-00002D000000}"/>
    <cellStyle name="Normal 2 3 3" xfId="53" xr:uid="{00000000-0005-0000-0000-00002E000000}"/>
    <cellStyle name="Normal 2 3 3 2" xfId="54" xr:uid="{00000000-0005-0000-0000-00002F000000}"/>
    <cellStyle name="Normal 2 3 4" xfId="55" xr:uid="{00000000-0005-0000-0000-000030000000}"/>
    <cellStyle name="Normal 2 4" xfId="56" xr:uid="{00000000-0005-0000-0000-000031000000}"/>
    <cellStyle name="Normal 2 5" xfId="57" xr:uid="{00000000-0005-0000-0000-000032000000}"/>
    <cellStyle name="Normal 2 5 2" xfId="58" xr:uid="{00000000-0005-0000-0000-000033000000}"/>
    <cellStyle name="Normal 3" xfId="59" xr:uid="{00000000-0005-0000-0000-000034000000}"/>
    <cellStyle name="Normal 3 2" xfId="60" xr:uid="{00000000-0005-0000-0000-000035000000}"/>
    <cellStyle name="Normal 3 2 2" xfId="61" xr:uid="{00000000-0005-0000-0000-000036000000}"/>
    <cellStyle name="Normal 3 2 3" xfId="62" xr:uid="{00000000-0005-0000-0000-000037000000}"/>
    <cellStyle name="Normal 3 3" xfId="63" xr:uid="{00000000-0005-0000-0000-000038000000}"/>
    <cellStyle name="Normal 3 4" xfId="64" xr:uid="{00000000-0005-0000-0000-000039000000}"/>
    <cellStyle name="Normal 3 5" xfId="65" xr:uid="{00000000-0005-0000-0000-00003A000000}"/>
    <cellStyle name="Normal 3 5 2" xfId="66" xr:uid="{00000000-0005-0000-0000-00003B000000}"/>
    <cellStyle name="Normal 3 6" xfId="67" xr:uid="{00000000-0005-0000-0000-00003C000000}"/>
    <cellStyle name="Normal 3 6 2" xfId="68" xr:uid="{00000000-0005-0000-0000-00003D000000}"/>
    <cellStyle name="Normal 3 7" xfId="69" xr:uid="{00000000-0005-0000-0000-00003E000000}"/>
    <cellStyle name="Normal 4" xfId="70" xr:uid="{00000000-0005-0000-0000-00003F000000}"/>
    <cellStyle name="Normal 4 2" xfId="71" xr:uid="{00000000-0005-0000-0000-000040000000}"/>
    <cellStyle name="Normal 4 3" xfId="72" xr:uid="{00000000-0005-0000-0000-000041000000}"/>
    <cellStyle name="Normal 4 3 2" xfId="73" xr:uid="{00000000-0005-0000-0000-000042000000}"/>
    <cellStyle name="Normal 4 3 3" xfId="74" xr:uid="{00000000-0005-0000-0000-000043000000}"/>
    <cellStyle name="Normal 4 3 4" xfId="75" xr:uid="{00000000-0005-0000-0000-000044000000}"/>
    <cellStyle name="Normal 4 3 4 2" xfId="76" xr:uid="{00000000-0005-0000-0000-000045000000}"/>
    <cellStyle name="Normal 4 3 5" xfId="77" xr:uid="{00000000-0005-0000-0000-000046000000}"/>
    <cellStyle name="Normal 4 4" xfId="78" xr:uid="{00000000-0005-0000-0000-000047000000}"/>
    <cellStyle name="Normal 4 5" xfId="79" xr:uid="{00000000-0005-0000-0000-000048000000}"/>
    <cellStyle name="Normal 4 5 2" xfId="80" xr:uid="{00000000-0005-0000-0000-000049000000}"/>
    <cellStyle name="Normal 4 6" xfId="81" xr:uid="{00000000-0005-0000-0000-00004A000000}"/>
    <cellStyle name="Normal 5" xfId="82" xr:uid="{00000000-0005-0000-0000-00004B000000}"/>
    <cellStyle name="Normal 5 2" xfId="83" xr:uid="{00000000-0005-0000-0000-00004C000000}"/>
    <cellStyle name="Normal 5 3" xfId="8" xr:uid="{00000000-0005-0000-0000-00004D000000}"/>
    <cellStyle name="Normal 5 3 2" xfId="84" xr:uid="{00000000-0005-0000-0000-00004E000000}"/>
    <cellStyle name="Normal 5 3 3" xfId="85" xr:uid="{00000000-0005-0000-0000-00004F000000}"/>
    <cellStyle name="Normal 5 3 3 2" xfId="86" xr:uid="{00000000-0005-0000-0000-000050000000}"/>
    <cellStyle name="Normal 5 3 4" xfId="87" xr:uid="{00000000-0005-0000-0000-000051000000}"/>
    <cellStyle name="Normal 5 4" xfId="4" xr:uid="{00000000-0005-0000-0000-000052000000}"/>
    <cellStyle name="Normal 5 5" xfId="9" xr:uid="{00000000-0005-0000-0000-000053000000}"/>
    <cellStyle name="Normal 5 5 2" xfId="88" xr:uid="{00000000-0005-0000-0000-000054000000}"/>
    <cellStyle name="Normal 5 6" xfId="11" xr:uid="{00000000-0005-0000-0000-000055000000}"/>
    <cellStyle name="Normal 6" xfId="89" xr:uid="{00000000-0005-0000-0000-000056000000}"/>
    <cellStyle name="Normal 6 2" xfId="90" xr:uid="{00000000-0005-0000-0000-000057000000}"/>
    <cellStyle name="Normal 6 2 2" xfId="91" xr:uid="{00000000-0005-0000-0000-000058000000}"/>
    <cellStyle name="Normal 6 2 2 2" xfId="92" xr:uid="{00000000-0005-0000-0000-000059000000}"/>
    <cellStyle name="Normal 6 2 2 3" xfId="94" xr:uid="{00000000-0005-0000-0000-00005A000000}"/>
    <cellStyle name="Normal 6 2 2 4" xfId="95" xr:uid="{00000000-0005-0000-0000-00005B000000}"/>
    <cellStyle name="Normal 6 2 2 4 2" xfId="96" xr:uid="{00000000-0005-0000-0000-00005C000000}"/>
    <cellStyle name="Normal 6 2 2 5" xfId="97" xr:uid="{00000000-0005-0000-0000-00005D000000}"/>
    <cellStyle name="Normal 6 2 3" xfId="98" xr:uid="{00000000-0005-0000-0000-00005E000000}"/>
    <cellStyle name="Normal 6 2 4" xfId="99" xr:uid="{00000000-0005-0000-0000-00005F000000}"/>
    <cellStyle name="Normal 6 2 4 2" xfId="100" xr:uid="{00000000-0005-0000-0000-000060000000}"/>
    <cellStyle name="Normal 6 2 5" xfId="18" xr:uid="{00000000-0005-0000-0000-000061000000}"/>
    <cellStyle name="Normal 6 3" xfId="6" xr:uid="{00000000-0005-0000-0000-000062000000}"/>
    <cellStyle name="Normal 6 4" xfId="101" xr:uid="{00000000-0005-0000-0000-000063000000}"/>
    <cellStyle name="Normal 6 5" xfId="102" xr:uid="{00000000-0005-0000-0000-000064000000}"/>
    <cellStyle name="Normal 6 5 2" xfId="103" xr:uid="{00000000-0005-0000-0000-000065000000}"/>
    <cellStyle name="Normal 6 6" xfId="104" xr:uid="{00000000-0005-0000-0000-000066000000}"/>
    <cellStyle name="Normal 7" xfId="105" xr:uid="{00000000-0005-0000-0000-000067000000}"/>
    <cellStyle name="Normal 7 2" xfId="3" xr:uid="{00000000-0005-0000-0000-000068000000}"/>
    <cellStyle name="Normal 7 2 2" xfId="23" xr:uid="{00000000-0005-0000-0000-000069000000}"/>
    <cellStyle name="Normal 7 2 3" xfId="106" xr:uid="{00000000-0005-0000-0000-00006A000000}"/>
    <cellStyle name="Normal 7 2 4" xfId="107" xr:uid="{00000000-0005-0000-0000-00006B000000}"/>
    <cellStyle name="Normal 7 2 4 2" xfId="28" xr:uid="{00000000-0005-0000-0000-00006C000000}"/>
    <cellStyle name="Normal 7 2 5" xfId="108" xr:uid="{00000000-0005-0000-0000-00006D000000}"/>
    <cellStyle name="Normal 7 3" xfId="109" xr:uid="{00000000-0005-0000-0000-00006E000000}"/>
    <cellStyle name="Normal 7 4" xfId="110" xr:uid="{00000000-0005-0000-0000-00006F000000}"/>
    <cellStyle name="Normal 7 4 2" xfId="111" xr:uid="{00000000-0005-0000-0000-000070000000}"/>
    <cellStyle name="Normal 7 5" xfId="112" xr:uid="{00000000-0005-0000-0000-000071000000}"/>
    <cellStyle name="Normal 8" xfId="113" xr:uid="{00000000-0005-0000-0000-000072000000}"/>
    <cellStyle name="Normal 8 2" xfId="114" xr:uid="{00000000-0005-0000-0000-000073000000}"/>
    <cellStyle name="Normal 8 3" xfId="115" xr:uid="{00000000-0005-0000-0000-000074000000}"/>
    <cellStyle name="Normal 8 3 2" xfId="93" xr:uid="{00000000-0005-0000-0000-000075000000}"/>
    <cellStyle name="Normal 8 4" xfId="116" xr:uid="{00000000-0005-0000-0000-000076000000}"/>
    <cellStyle name="Normal 9" xfId="117" xr:uid="{00000000-0005-0000-0000-000077000000}"/>
    <cellStyle name="Normal 9 2" xfId="118" xr:uid="{00000000-0005-0000-0000-000078000000}"/>
    <cellStyle name="Normal 9 3" xfId="119" xr:uid="{00000000-0005-0000-0000-000079000000}"/>
    <cellStyle name="Normal 9 4" xfId="120" xr:uid="{00000000-0005-0000-0000-00007A000000}"/>
    <cellStyle name="Normal 9 5" xfId="121" xr:uid="{00000000-0005-0000-0000-00007B000000}"/>
    <cellStyle name="Normal 9 5 2" xfId="122" xr:uid="{00000000-0005-0000-0000-00007C000000}"/>
    <cellStyle name="Normal 9 6" xfId="123" xr:uid="{00000000-0005-0000-0000-00007D000000}"/>
    <cellStyle name="Percent 2" xfId="124" xr:uid="{00000000-0005-0000-0000-00007E000000}"/>
    <cellStyle name="Percent 2 2" xfId="125" xr:uid="{00000000-0005-0000-0000-00007F000000}"/>
    <cellStyle name="Percent 2 3" xfId="126" xr:uid="{00000000-0005-0000-0000-000080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48384"/>
  <sheetViews>
    <sheetView tabSelected="1" zoomScale="70" zoomScaleNormal="70" workbookViewId="0">
      <pane xSplit="1" ySplit="3" topLeftCell="B488" activePane="bottomRight" state="frozen"/>
      <selection pane="topRight"/>
      <selection pane="bottomLeft"/>
      <selection pane="bottomRight" activeCell="N489" sqref="N489"/>
    </sheetView>
  </sheetViews>
  <sheetFormatPr defaultColWidth="9.140625" defaultRowHeight="18.75"/>
  <cols>
    <col min="1" max="1" width="5.28515625" style="3" customWidth="1"/>
    <col min="2" max="2" width="30" style="99" customWidth="1"/>
    <col min="3" max="3" width="32.28515625" style="99" customWidth="1"/>
    <col min="4" max="4" width="41.42578125" style="181" customWidth="1"/>
    <col min="5" max="5" width="10" style="3" customWidth="1"/>
    <col min="6" max="6" width="17.42578125" style="3" customWidth="1"/>
    <col min="7" max="7" width="10.28515625" style="3" customWidth="1"/>
    <col min="8" max="8" width="16" style="3" customWidth="1"/>
    <col min="9" max="9" width="24" style="3" bestFit="1" customWidth="1"/>
    <col min="10" max="10" width="24.28515625" style="3" bestFit="1" customWidth="1"/>
    <col min="11" max="11" width="22.42578125" style="15" bestFit="1" customWidth="1"/>
    <col min="12" max="12" width="38.85546875" style="15" bestFit="1" customWidth="1"/>
    <col min="13" max="13" width="16" style="15" customWidth="1"/>
    <col min="14" max="14" width="28.7109375" style="2" bestFit="1" customWidth="1"/>
    <col min="15" max="15" width="24.140625" style="3" customWidth="1"/>
    <col min="16" max="16" width="14" style="3" customWidth="1"/>
    <col min="17" max="17" width="21" style="3" customWidth="1"/>
    <col min="18" max="18" width="37.28515625" style="3" bestFit="1" customWidth="1"/>
    <col min="19" max="19" width="12.42578125" style="3" customWidth="1"/>
    <col min="20" max="20" width="16.42578125" style="3" customWidth="1"/>
    <col min="21" max="16384" width="9.140625" style="3"/>
  </cols>
  <sheetData>
    <row r="1" spans="1:20" ht="15.75" customHeight="1">
      <c r="A1" s="373" t="s">
        <v>0</v>
      </c>
      <c r="B1" s="373"/>
      <c r="C1" s="373"/>
      <c r="D1" s="373"/>
      <c r="E1" s="373"/>
      <c r="F1" s="373"/>
      <c r="G1" s="373"/>
      <c r="H1" s="373"/>
      <c r="I1" s="373"/>
      <c r="J1" s="373"/>
      <c r="K1" s="373"/>
      <c r="L1" s="1"/>
      <c r="M1" s="1"/>
      <c r="N1" s="2" t="s">
        <v>1</v>
      </c>
      <c r="O1" s="3" t="s">
        <v>2</v>
      </c>
      <c r="P1" s="3" t="s">
        <v>3</v>
      </c>
    </row>
    <row r="2" spans="1:20" ht="25.5" customHeight="1">
      <c r="A2" s="374"/>
      <c r="B2" s="374"/>
      <c r="C2" s="374"/>
      <c r="D2" s="374"/>
      <c r="E2" s="374"/>
      <c r="F2" s="374"/>
      <c r="G2" s="374"/>
      <c r="H2" s="374"/>
      <c r="I2" s="374"/>
      <c r="J2" s="374"/>
      <c r="K2" s="374"/>
      <c r="L2" s="1"/>
      <c r="M2" s="1"/>
    </row>
    <row r="3" spans="1:20" s="8" customFormat="1" ht="55.5" customHeight="1">
      <c r="A3" s="229" t="s">
        <v>4</v>
      </c>
      <c r="B3" s="5" t="s">
        <v>5</v>
      </c>
      <c r="C3" s="5" t="s">
        <v>6</v>
      </c>
      <c r="D3" s="5" t="s">
        <v>7</v>
      </c>
      <c r="E3" s="5" t="s">
        <v>8</v>
      </c>
      <c r="F3" s="5" t="s">
        <v>9</v>
      </c>
      <c r="G3" s="5" t="s">
        <v>10</v>
      </c>
      <c r="H3" s="230" t="s">
        <v>11</v>
      </c>
      <c r="I3" s="5" t="s">
        <v>1892</v>
      </c>
      <c r="J3" s="4" t="s">
        <v>12</v>
      </c>
      <c r="K3" s="6" t="s">
        <v>1893</v>
      </c>
      <c r="L3" s="231" t="s">
        <v>1894</v>
      </c>
      <c r="M3" s="231" t="s">
        <v>1895</v>
      </c>
      <c r="N3" s="8" t="s">
        <v>1896</v>
      </c>
      <c r="O3" s="8" t="s">
        <v>997</v>
      </c>
      <c r="P3" s="8" t="s">
        <v>998</v>
      </c>
      <c r="Q3" s="8" t="s">
        <v>999</v>
      </c>
    </row>
    <row r="4" spans="1:20" ht="409.5" customHeight="1">
      <c r="A4" s="9"/>
      <c r="B4" s="10" t="s">
        <v>1715</v>
      </c>
      <c r="C4" s="223" t="s">
        <v>2857</v>
      </c>
      <c r="D4" s="11" t="s">
        <v>3370</v>
      </c>
      <c r="E4" s="9"/>
      <c r="F4" s="9" t="s">
        <v>15</v>
      </c>
      <c r="G4" s="12"/>
      <c r="H4" s="9"/>
      <c r="I4" s="13" t="s">
        <v>2327</v>
      </c>
      <c r="J4" s="96"/>
      <c r="K4" s="18" t="s">
        <v>2281</v>
      </c>
      <c r="L4" s="18" t="s">
        <v>2858</v>
      </c>
      <c r="M4" s="14"/>
      <c r="O4" s="2"/>
      <c r="P4" s="2"/>
      <c r="Q4" s="2"/>
    </row>
    <row r="5" spans="1:20" ht="409.5" customHeight="1">
      <c r="A5" s="9"/>
      <c r="B5" s="93" t="s">
        <v>1715</v>
      </c>
      <c r="C5" s="303" t="s">
        <v>2859</v>
      </c>
      <c r="D5" s="62" t="s">
        <v>3370</v>
      </c>
      <c r="E5" s="94"/>
      <c r="F5" s="94"/>
      <c r="G5" s="304"/>
      <c r="H5" s="94"/>
      <c r="I5" s="305"/>
      <c r="J5" s="306"/>
      <c r="K5" s="307" t="s">
        <v>2281</v>
      </c>
      <c r="L5" s="25" t="s">
        <v>2858</v>
      </c>
    </row>
    <row r="6" spans="1:20" ht="409.5" customHeight="1">
      <c r="A6" s="9"/>
      <c r="B6" s="10" t="s">
        <v>1832</v>
      </c>
      <c r="C6" s="10" t="s">
        <v>2362</v>
      </c>
      <c r="D6" s="11" t="s">
        <v>3460</v>
      </c>
      <c r="E6" s="9"/>
      <c r="F6" s="9"/>
      <c r="G6" s="12" t="s">
        <v>16</v>
      </c>
      <c r="H6" s="9" t="s">
        <v>96</v>
      </c>
      <c r="I6" s="17" t="s">
        <v>571</v>
      </c>
      <c r="J6" s="16"/>
      <c r="K6" s="18" t="s">
        <v>2363</v>
      </c>
      <c r="L6" s="25" t="s">
        <v>2364</v>
      </c>
      <c r="M6" s="25" t="s">
        <v>2364</v>
      </c>
    </row>
    <row r="7" spans="1:20" ht="237.75" customHeight="1">
      <c r="A7" s="9"/>
      <c r="B7" s="10" t="s">
        <v>2567</v>
      </c>
      <c r="C7" s="10" t="s">
        <v>2613</v>
      </c>
      <c r="D7" s="11" t="s">
        <v>2614</v>
      </c>
      <c r="E7" s="9">
        <v>4</v>
      </c>
      <c r="F7" s="9">
        <v>3</v>
      </c>
      <c r="G7" s="12" t="s">
        <v>16</v>
      </c>
      <c r="H7" s="9" t="s">
        <v>18</v>
      </c>
      <c r="I7" s="17" t="s">
        <v>19</v>
      </c>
      <c r="J7" s="16" t="s">
        <v>20</v>
      </c>
      <c r="K7" s="18" t="s">
        <v>1381</v>
      </c>
      <c r="L7" s="20" t="s">
        <v>2558</v>
      </c>
      <c r="M7" s="20" t="s">
        <v>2558</v>
      </c>
      <c r="N7" s="2">
        <v>32785</v>
      </c>
      <c r="P7" s="2">
        <v>32785</v>
      </c>
    </row>
    <row r="8" spans="1:20" ht="237.75" customHeight="1">
      <c r="A8" s="9"/>
      <c r="B8" s="207" t="s">
        <v>2227</v>
      </c>
      <c r="C8" s="207" t="s">
        <v>3132</v>
      </c>
      <c r="D8" s="11" t="s">
        <v>3133</v>
      </c>
      <c r="E8" s="9"/>
      <c r="F8" s="9"/>
      <c r="G8" s="12"/>
      <c r="H8" s="9"/>
      <c r="I8" s="17" t="s">
        <v>571</v>
      </c>
      <c r="J8" s="16"/>
      <c r="K8" s="18" t="s">
        <v>3131</v>
      </c>
      <c r="L8" s="20"/>
      <c r="M8" s="20" t="s">
        <v>2996</v>
      </c>
      <c r="P8" s="2"/>
      <c r="R8" s="3" t="s">
        <v>3263</v>
      </c>
    </row>
    <row r="9" spans="1:20" ht="408.6" customHeight="1">
      <c r="A9" s="9"/>
      <c r="B9" s="10" t="s">
        <v>1947</v>
      </c>
      <c r="C9" s="10" t="s">
        <v>1948</v>
      </c>
      <c r="D9" s="11" t="s">
        <v>1949</v>
      </c>
      <c r="E9" s="9"/>
      <c r="F9" s="9">
        <v>3</v>
      </c>
      <c r="G9" s="12" t="s">
        <v>16</v>
      </c>
      <c r="H9" s="9" t="s">
        <v>1623</v>
      </c>
      <c r="I9" s="17" t="s">
        <v>19</v>
      </c>
      <c r="J9" s="16"/>
      <c r="K9" s="18" t="s">
        <v>1946</v>
      </c>
      <c r="L9" s="20"/>
      <c r="M9" s="20" t="s">
        <v>1950</v>
      </c>
      <c r="P9" s="2"/>
      <c r="R9" s="162" t="s">
        <v>485</v>
      </c>
    </row>
    <row r="10" spans="1:20" ht="243.75">
      <c r="A10" s="9"/>
      <c r="B10" s="10" t="s">
        <v>1136</v>
      </c>
      <c r="C10" s="10" t="s">
        <v>22</v>
      </c>
      <c r="D10" s="11" t="s">
        <v>23</v>
      </c>
      <c r="E10" s="9"/>
      <c r="F10" s="9">
        <v>3</v>
      </c>
      <c r="G10" s="12" t="s">
        <v>16</v>
      </c>
      <c r="H10" s="9" t="s">
        <v>18</v>
      </c>
      <c r="I10" s="17" t="s">
        <v>19</v>
      </c>
      <c r="J10" s="16" t="s">
        <v>24</v>
      </c>
      <c r="K10" s="14">
        <v>44286</v>
      </c>
      <c r="L10" s="20" t="s">
        <v>25</v>
      </c>
      <c r="M10" s="20"/>
      <c r="N10" s="2">
        <v>4860</v>
      </c>
      <c r="O10" s="3" t="s">
        <v>1101</v>
      </c>
    </row>
    <row r="11" spans="1:20" ht="288.75" customHeight="1">
      <c r="A11" s="9"/>
      <c r="B11" s="10" t="s">
        <v>1137</v>
      </c>
      <c r="C11" s="10" t="s">
        <v>26</v>
      </c>
      <c r="D11" s="11" t="s">
        <v>27</v>
      </c>
      <c r="E11" s="9"/>
      <c r="F11" s="9">
        <v>3</v>
      </c>
      <c r="G11" s="12" t="s">
        <v>16</v>
      </c>
      <c r="H11" s="9" t="s">
        <v>18</v>
      </c>
      <c r="I11" s="17" t="s">
        <v>19</v>
      </c>
      <c r="J11" s="21" t="s">
        <v>28</v>
      </c>
      <c r="K11" s="18" t="s">
        <v>1905</v>
      </c>
      <c r="L11" s="20"/>
      <c r="M11" s="20" t="s">
        <v>1632</v>
      </c>
      <c r="N11" s="2">
        <v>32785</v>
      </c>
      <c r="P11" s="2">
        <v>30896</v>
      </c>
      <c r="Q11" s="2">
        <v>1844</v>
      </c>
      <c r="R11" s="9">
        <v>4</v>
      </c>
    </row>
    <row r="12" spans="1:20" ht="358.5" customHeight="1">
      <c r="A12" s="9"/>
      <c r="B12" s="10" t="s">
        <v>1138</v>
      </c>
      <c r="C12" s="10" t="s">
        <v>29</v>
      </c>
      <c r="D12" s="11" t="s">
        <v>30</v>
      </c>
      <c r="E12" s="9"/>
      <c r="F12" s="9">
        <v>3</v>
      </c>
      <c r="G12" s="12" t="s">
        <v>16</v>
      </c>
      <c r="H12" s="9" t="s">
        <v>18</v>
      </c>
      <c r="I12" s="17" t="s">
        <v>19</v>
      </c>
      <c r="J12" s="16" t="s">
        <v>31</v>
      </c>
      <c r="K12" s="14">
        <v>44655</v>
      </c>
      <c r="L12" s="22" t="s">
        <v>25</v>
      </c>
      <c r="M12" s="23"/>
      <c r="N12" s="2">
        <v>32785</v>
      </c>
      <c r="P12" s="2">
        <v>30896</v>
      </c>
      <c r="T12" s="3" t="s">
        <v>1565</v>
      </c>
    </row>
    <row r="13" spans="1:20" ht="237.75" customHeight="1">
      <c r="A13" s="9"/>
      <c r="B13" s="11" t="s">
        <v>1139</v>
      </c>
      <c r="C13" s="11" t="s">
        <v>32</v>
      </c>
      <c r="D13" s="11" t="s">
        <v>1070</v>
      </c>
      <c r="E13" s="9">
        <v>4</v>
      </c>
      <c r="F13" s="9">
        <v>3</v>
      </c>
      <c r="G13" s="12" t="s">
        <v>16</v>
      </c>
      <c r="H13" s="9" t="s">
        <v>18</v>
      </c>
      <c r="I13" s="24" t="s">
        <v>1465</v>
      </c>
      <c r="J13" s="16" t="s">
        <v>33</v>
      </c>
      <c r="K13" s="18" t="s">
        <v>1723</v>
      </c>
      <c r="L13" s="25" t="s">
        <v>1876</v>
      </c>
      <c r="M13" s="25" t="s">
        <v>1876</v>
      </c>
      <c r="N13" s="2">
        <v>32785</v>
      </c>
      <c r="P13" s="2">
        <v>32785</v>
      </c>
      <c r="R13" s="3" t="s">
        <v>1663</v>
      </c>
    </row>
    <row r="14" spans="1:20" ht="159.75" customHeight="1">
      <c r="A14" s="9"/>
      <c r="B14" s="10" t="s">
        <v>1140</v>
      </c>
      <c r="C14" s="10" t="s">
        <v>35</v>
      </c>
      <c r="D14" s="11" t="s">
        <v>1069</v>
      </c>
      <c r="E14" s="9"/>
      <c r="F14" s="9">
        <v>3</v>
      </c>
      <c r="G14" s="12" t="s">
        <v>16</v>
      </c>
      <c r="H14" s="9" t="s">
        <v>18</v>
      </c>
      <c r="I14" s="17" t="s">
        <v>19</v>
      </c>
      <c r="J14" s="21" t="s">
        <v>36</v>
      </c>
      <c r="K14" s="18">
        <v>45575</v>
      </c>
      <c r="L14" s="15" t="s">
        <v>1971</v>
      </c>
      <c r="M14" s="15" t="s">
        <v>1971</v>
      </c>
      <c r="N14" s="2">
        <v>32785</v>
      </c>
      <c r="P14" s="2">
        <v>30896</v>
      </c>
      <c r="R14" s="3" t="s">
        <v>1995</v>
      </c>
    </row>
    <row r="15" spans="1:20" ht="146.25" customHeight="1">
      <c r="A15" s="9"/>
      <c r="B15" s="10" t="s">
        <v>1141</v>
      </c>
      <c r="C15" s="10" t="s">
        <v>2460</v>
      </c>
      <c r="D15" s="11" t="s">
        <v>2461</v>
      </c>
      <c r="E15" s="9"/>
      <c r="F15" s="9"/>
      <c r="G15" s="12" t="s">
        <v>16</v>
      </c>
      <c r="H15" s="9" t="s">
        <v>18</v>
      </c>
      <c r="I15" s="106" t="s">
        <v>571</v>
      </c>
      <c r="J15" s="16" t="s">
        <v>37</v>
      </c>
      <c r="K15" s="18" t="s">
        <v>2453</v>
      </c>
      <c r="L15" s="25" t="s">
        <v>1784</v>
      </c>
      <c r="M15" s="25" t="s">
        <v>1784</v>
      </c>
      <c r="R15" s="3" t="s">
        <v>3177</v>
      </c>
    </row>
    <row r="16" spans="1:20" ht="269.25" customHeight="1">
      <c r="A16" s="9"/>
      <c r="B16" s="136" t="s">
        <v>3270</v>
      </c>
      <c r="C16" s="136" t="s">
        <v>3200</v>
      </c>
      <c r="D16" s="136" t="s">
        <v>3201</v>
      </c>
      <c r="E16" s="9">
        <v>6</v>
      </c>
      <c r="F16" s="9" t="s">
        <v>15</v>
      </c>
      <c r="G16" s="12" t="s">
        <v>16</v>
      </c>
      <c r="H16" s="9" t="s">
        <v>1464</v>
      </c>
      <c r="I16" s="13" t="s">
        <v>2702</v>
      </c>
      <c r="J16" s="26" t="s">
        <v>39</v>
      </c>
      <c r="K16" s="18" t="s">
        <v>3280</v>
      </c>
      <c r="L16" s="25" t="s">
        <v>2916</v>
      </c>
      <c r="M16" s="25" t="s">
        <v>2916</v>
      </c>
      <c r="N16" s="39" t="s">
        <v>3336</v>
      </c>
      <c r="O16" s="39" t="s">
        <v>3336</v>
      </c>
      <c r="P16" s="39" t="s">
        <v>3336</v>
      </c>
      <c r="Q16" s="39" t="s">
        <v>3336</v>
      </c>
      <c r="R16" s="3" t="s">
        <v>3254</v>
      </c>
    </row>
    <row r="17" spans="1:18" ht="269.25" customHeight="1">
      <c r="A17" s="28"/>
      <c r="B17" s="11" t="s">
        <v>2139</v>
      </c>
      <c r="C17" s="11" t="s">
        <v>2140</v>
      </c>
      <c r="D17" s="11" t="s">
        <v>2141</v>
      </c>
      <c r="E17" s="9"/>
      <c r="F17" s="9"/>
      <c r="G17" s="12"/>
      <c r="H17" s="9" t="s">
        <v>55</v>
      </c>
      <c r="I17" s="9" t="s">
        <v>2129</v>
      </c>
      <c r="J17" s="26"/>
      <c r="K17" s="18" t="s">
        <v>1010</v>
      </c>
      <c r="L17" s="27"/>
      <c r="M17" s="25" t="s">
        <v>2072</v>
      </c>
      <c r="R17" s="3" t="s">
        <v>2760</v>
      </c>
    </row>
    <row r="18" spans="1:18" ht="244.5" customHeight="1">
      <c r="A18" s="28"/>
      <c r="B18" s="136" t="s">
        <v>3270</v>
      </c>
      <c r="C18" s="136" t="s">
        <v>3202</v>
      </c>
      <c r="D18" s="136" t="s">
        <v>3458</v>
      </c>
      <c r="E18" s="9">
        <v>3</v>
      </c>
      <c r="F18" s="9" t="s">
        <v>15</v>
      </c>
      <c r="G18" s="12" t="s">
        <v>16</v>
      </c>
      <c r="H18" s="9" t="s">
        <v>1464</v>
      </c>
      <c r="I18" s="13" t="s">
        <v>2702</v>
      </c>
      <c r="J18" s="26" t="s">
        <v>39</v>
      </c>
      <c r="K18" s="18" t="s">
        <v>3280</v>
      </c>
      <c r="L18" s="25" t="s">
        <v>2916</v>
      </c>
      <c r="M18" s="25" t="s">
        <v>2916</v>
      </c>
      <c r="N18" s="39" t="s">
        <v>3335</v>
      </c>
      <c r="O18" s="39" t="s">
        <v>3335</v>
      </c>
      <c r="P18" s="39" t="s">
        <v>3335</v>
      </c>
      <c r="Q18" s="39" t="s">
        <v>3335</v>
      </c>
      <c r="R18" s="3" t="s">
        <v>3252</v>
      </c>
    </row>
    <row r="19" spans="1:18" ht="244.5" customHeight="1">
      <c r="A19" s="28"/>
      <c r="B19" s="136" t="s">
        <v>3270</v>
      </c>
      <c r="C19" s="136" t="s">
        <v>3202</v>
      </c>
      <c r="D19" s="136" t="s">
        <v>3271</v>
      </c>
      <c r="E19" s="9" t="s">
        <v>887</v>
      </c>
      <c r="F19" s="9" t="s">
        <v>15</v>
      </c>
      <c r="G19" s="12"/>
      <c r="H19" s="9" t="s">
        <v>1464</v>
      </c>
      <c r="I19" s="13" t="s">
        <v>2702</v>
      </c>
      <c r="J19" s="26"/>
      <c r="K19" s="18" t="s">
        <v>3280</v>
      </c>
      <c r="L19" s="25" t="s">
        <v>2916</v>
      </c>
      <c r="M19" s="25" t="s">
        <v>2916</v>
      </c>
      <c r="N19" s="39" t="s">
        <v>2781</v>
      </c>
      <c r="O19" s="39" t="s">
        <v>2781</v>
      </c>
      <c r="P19" s="39" t="s">
        <v>2781</v>
      </c>
      <c r="Q19" s="39" t="s">
        <v>2781</v>
      </c>
      <c r="R19" s="3" t="s">
        <v>3253</v>
      </c>
    </row>
    <row r="20" spans="1:18" ht="226.5" customHeight="1">
      <c r="A20" s="13">
        <v>2</v>
      </c>
      <c r="B20" s="11" t="s">
        <v>1142</v>
      </c>
      <c r="C20" s="10" t="s">
        <v>1437</v>
      </c>
      <c r="D20" s="11" t="s">
        <v>1466</v>
      </c>
      <c r="E20" s="9"/>
      <c r="F20" s="9">
        <v>1</v>
      </c>
      <c r="G20" s="29" t="s">
        <v>40</v>
      </c>
      <c r="H20" s="9" t="s">
        <v>18</v>
      </c>
      <c r="I20" s="17" t="s">
        <v>19</v>
      </c>
      <c r="J20" s="30" t="s">
        <v>41</v>
      </c>
      <c r="K20" s="18" t="s">
        <v>1435</v>
      </c>
      <c r="L20" s="20" t="s">
        <v>1375</v>
      </c>
      <c r="M20" s="20"/>
      <c r="N20" s="2">
        <v>9676</v>
      </c>
      <c r="R20" s="162" t="s">
        <v>2205</v>
      </c>
    </row>
    <row r="21" spans="1:18" ht="226.5" customHeight="1">
      <c r="A21" s="13"/>
      <c r="B21" s="11" t="s">
        <v>2966</v>
      </c>
      <c r="C21" s="10" t="s">
        <v>2967</v>
      </c>
      <c r="D21" s="11" t="s">
        <v>2968</v>
      </c>
      <c r="E21" s="9">
        <v>4</v>
      </c>
      <c r="F21" s="9">
        <v>1</v>
      </c>
      <c r="G21" s="29"/>
      <c r="H21" s="9"/>
      <c r="I21" s="10" t="s">
        <v>2253</v>
      </c>
      <c r="J21" s="30"/>
      <c r="K21" s="18" t="s">
        <v>2956</v>
      </c>
      <c r="L21" s="20"/>
      <c r="M21" s="20" t="s">
        <v>2887</v>
      </c>
      <c r="N21" s="2">
        <v>9676</v>
      </c>
      <c r="R21" s="3" t="s">
        <v>3140</v>
      </c>
    </row>
    <row r="22" spans="1:18" ht="334.5" customHeight="1">
      <c r="A22" s="13">
        <v>3</v>
      </c>
      <c r="B22" s="11" t="s">
        <v>3161</v>
      </c>
      <c r="C22" s="10" t="s">
        <v>3162</v>
      </c>
      <c r="D22" s="189" t="s">
        <v>3163</v>
      </c>
      <c r="E22" s="12">
        <v>4</v>
      </c>
      <c r="F22" s="12">
        <v>1</v>
      </c>
      <c r="G22" s="12" t="s">
        <v>16</v>
      </c>
      <c r="H22" s="33" t="s">
        <v>43</v>
      </c>
      <c r="I22" s="17" t="s">
        <v>19</v>
      </c>
      <c r="J22" s="26" t="s">
        <v>44</v>
      </c>
      <c r="K22" s="18" t="s">
        <v>3213</v>
      </c>
      <c r="L22" s="25" t="s">
        <v>1730</v>
      </c>
      <c r="M22" s="25" t="s">
        <v>1730</v>
      </c>
      <c r="N22" s="2">
        <v>9676</v>
      </c>
      <c r="O22" s="3" t="s">
        <v>47</v>
      </c>
      <c r="R22" s="12">
        <v>4</v>
      </c>
    </row>
    <row r="23" spans="1:18" ht="160.5" customHeight="1">
      <c r="A23" s="13">
        <v>4</v>
      </c>
      <c r="B23" s="11" t="s">
        <v>1143</v>
      </c>
      <c r="C23" s="10" t="s">
        <v>48</v>
      </c>
      <c r="D23" s="32" t="s">
        <v>49</v>
      </c>
      <c r="E23" s="12"/>
      <c r="F23" s="12">
        <v>1</v>
      </c>
      <c r="G23" s="12" t="s">
        <v>16</v>
      </c>
      <c r="H23" s="34" t="s">
        <v>50</v>
      </c>
      <c r="I23" s="9" t="s">
        <v>51</v>
      </c>
      <c r="J23" s="26">
        <v>3653520</v>
      </c>
      <c r="K23" s="18" t="s">
        <v>1727</v>
      </c>
      <c r="L23" s="35" t="s">
        <v>1634</v>
      </c>
      <c r="M23" s="36"/>
      <c r="N23" s="2">
        <v>9676</v>
      </c>
      <c r="R23" s="162" t="s">
        <v>2672</v>
      </c>
    </row>
    <row r="24" spans="1:18" ht="243.75">
      <c r="A24" s="13"/>
      <c r="B24" s="11" t="s">
        <v>932</v>
      </c>
      <c r="C24" s="10" t="s">
        <v>933</v>
      </c>
      <c r="D24" s="32" t="s">
        <v>1928</v>
      </c>
      <c r="E24" s="12"/>
      <c r="F24" s="12">
        <v>1</v>
      </c>
      <c r="G24" s="34" t="s">
        <v>311</v>
      </c>
      <c r="H24" s="13" t="s">
        <v>96</v>
      </c>
      <c r="I24" s="28" t="s">
        <v>679</v>
      </c>
      <c r="J24" s="30" t="s">
        <v>935</v>
      </c>
      <c r="K24" s="18" t="s">
        <v>1925</v>
      </c>
      <c r="L24" s="84" t="s">
        <v>1885</v>
      </c>
      <c r="M24" s="84" t="s">
        <v>1885</v>
      </c>
      <c r="N24" s="2">
        <v>32714</v>
      </c>
      <c r="R24" s="3" t="s">
        <v>3429</v>
      </c>
    </row>
    <row r="25" spans="1:18" ht="265.5" customHeight="1">
      <c r="A25" s="13">
        <v>5</v>
      </c>
      <c r="B25" s="11" t="s">
        <v>1144</v>
      </c>
      <c r="C25" s="10" t="s">
        <v>52</v>
      </c>
      <c r="D25" s="32" t="s">
        <v>53</v>
      </c>
      <c r="E25" s="12"/>
      <c r="F25" s="37"/>
      <c r="G25" s="12" t="s">
        <v>16</v>
      </c>
      <c r="H25" s="34" t="s">
        <v>54</v>
      </c>
      <c r="I25" s="38" t="s">
        <v>1774</v>
      </c>
      <c r="J25" s="26" t="s">
        <v>56</v>
      </c>
      <c r="K25" s="18" t="s">
        <v>57</v>
      </c>
      <c r="L25" s="25" t="s">
        <v>58</v>
      </c>
      <c r="M25" s="25"/>
      <c r="N25" s="39" t="s">
        <v>926</v>
      </c>
    </row>
    <row r="26" spans="1:18" ht="262.5">
      <c r="A26" s="13"/>
      <c r="B26" s="40" t="s">
        <v>1145</v>
      </c>
      <c r="C26" s="41" t="s">
        <v>2116</v>
      </c>
      <c r="D26" s="42" t="s">
        <v>61</v>
      </c>
      <c r="E26" s="12"/>
      <c r="F26" s="37">
        <v>1</v>
      </c>
      <c r="G26" s="12" t="s">
        <v>16</v>
      </c>
      <c r="H26" s="34" t="s">
        <v>54</v>
      </c>
      <c r="I26" s="24" t="s">
        <v>1465</v>
      </c>
      <c r="J26" s="43">
        <v>6503632272</v>
      </c>
      <c r="K26" s="191" t="s">
        <v>2117</v>
      </c>
      <c r="L26" s="45" t="s">
        <v>1885</v>
      </c>
      <c r="M26" s="46"/>
      <c r="N26" s="3">
        <v>32714</v>
      </c>
      <c r="P26" s="44"/>
      <c r="Q26" s="47"/>
      <c r="R26" s="3" t="s">
        <v>3205</v>
      </c>
    </row>
    <row r="27" spans="1:18" ht="409.5">
      <c r="A27" s="13">
        <v>6</v>
      </c>
      <c r="B27" s="11" t="s">
        <v>1146</v>
      </c>
      <c r="C27" s="10" t="s">
        <v>64</v>
      </c>
      <c r="D27" s="11" t="s">
        <v>65</v>
      </c>
      <c r="E27" s="13"/>
      <c r="F27" s="13"/>
      <c r="G27" s="12"/>
      <c r="H27" s="9" t="s">
        <v>66</v>
      </c>
      <c r="I27" s="17" t="s">
        <v>55</v>
      </c>
      <c r="J27" s="48" t="s">
        <v>67</v>
      </c>
      <c r="K27" s="18" t="s">
        <v>68</v>
      </c>
      <c r="L27" s="25" t="s">
        <v>69</v>
      </c>
      <c r="M27" s="25"/>
      <c r="N27" s="3">
        <v>32714</v>
      </c>
      <c r="P27" s="14"/>
      <c r="Q27" s="19"/>
      <c r="R27" s="3" t="s">
        <v>2293</v>
      </c>
    </row>
    <row r="28" spans="1:18" ht="293.25" customHeight="1">
      <c r="A28" s="13">
        <v>7</v>
      </c>
      <c r="B28" s="11" t="s">
        <v>1147</v>
      </c>
      <c r="C28" s="10" t="s">
        <v>73</v>
      </c>
      <c r="D28" s="11" t="s">
        <v>74</v>
      </c>
      <c r="E28" s="13"/>
      <c r="F28" s="13"/>
      <c r="G28" s="12" t="s">
        <v>16</v>
      </c>
      <c r="H28" s="9" t="s">
        <v>1467</v>
      </c>
      <c r="I28" s="17" t="s">
        <v>19</v>
      </c>
      <c r="J28" s="49" t="s">
        <v>75</v>
      </c>
      <c r="K28" s="14">
        <v>43239</v>
      </c>
      <c r="N28" s="3">
        <v>32714</v>
      </c>
      <c r="P28" s="14" t="s">
        <v>76</v>
      </c>
      <c r="Q28" s="47" t="s">
        <v>72</v>
      </c>
    </row>
    <row r="29" spans="1:18" ht="279.75" customHeight="1">
      <c r="A29" s="13"/>
      <c r="B29" s="11" t="s">
        <v>2465</v>
      </c>
      <c r="C29" s="10" t="s">
        <v>2466</v>
      </c>
      <c r="D29" s="11" t="s">
        <v>2467</v>
      </c>
      <c r="E29" s="13">
        <v>4</v>
      </c>
      <c r="F29" s="13">
        <v>1</v>
      </c>
      <c r="G29" s="12"/>
      <c r="H29" s="9"/>
      <c r="I29" s="24" t="s">
        <v>1468</v>
      </c>
      <c r="J29" s="30"/>
      <c r="K29" s="18" t="s">
        <v>2468</v>
      </c>
      <c r="L29" s="25" t="s">
        <v>2777</v>
      </c>
      <c r="M29" s="25" t="s">
        <v>1730</v>
      </c>
      <c r="N29" s="3">
        <v>32714</v>
      </c>
      <c r="P29" s="50"/>
      <c r="Q29" s="51"/>
    </row>
    <row r="30" spans="1:18" ht="181.5" customHeight="1">
      <c r="A30" s="13">
        <v>13</v>
      </c>
      <c r="B30" s="11" t="s">
        <v>2971</v>
      </c>
      <c r="C30" s="10" t="s">
        <v>2972</v>
      </c>
      <c r="D30" s="189" t="s">
        <v>2973</v>
      </c>
      <c r="E30" s="12">
        <v>4</v>
      </c>
      <c r="F30" s="12">
        <v>1</v>
      </c>
      <c r="G30" s="37" t="s">
        <v>83</v>
      </c>
      <c r="H30" s="34" t="s">
        <v>81</v>
      </c>
      <c r="I30" s="24" t="s">
        <v>1469</v>
      </c>
      <c r="J30" s="55" t="s">
        <v>84</v>
      </c>
      <c r="K30" s="186" t="s">
        <v>2956</v>
      </c>
      <c r="L30" s="25"/>
      <c r="M30" s="25" t="s">
        <v>2974</v>
      </c>
      <c r="N30" s="162" t="s">
        <v>2442</v>
      </c>
      <c r="P30" s="14">
        <v>44510</v>
      </c>
      <c r="Q30" s="19" t="s">
        <v>72</v>
      </c>
      <c r="R30" s="3" t="s">
        <v>3140</v>
      </c>
    </row>
    <row r="31" spans="1:18" ht="188.25" customHeight="1">
      <c r="A31" s="13">
        <v>14</v>
      </c>
      <c r="B31" s="11" t="s">
        <v>1412</v>
      </c>
      <c r="C31" s="10" t="s">
        <v>2844</v>
      </c>
      <c r="D31" s="350" t="s">
        <v>1667</v>
      </c>
      <c r="E31" s="13"/>
      <c r="F31" s="13" t="s">
        <v>1692</v>
      </c>
      <c r="G31" s="37" t="s">
        <v>86</v>
      </c>
      <c r="H31" s="57" t="s">
        <v>81</v>
      </c>
      <c r="I31" s="17" t="s">
        <v>87</v>
      </c>
      <c r="J31" s="26">
        <v>6503.631034</v>
      </c>
      <c r="K31" s="18" t="s">
        <v>2258</v>
      </c>
      <c r="L31" s="349" t="s">
        <v>2845</v>
      </c>
      <c r="M31" s="349" t="s">
        <v>2845</v>
      </c>
      <c r="N31" s="3">
        <v>32714</v>
      </c>
      <c r="O31" s="3" t="s">
        <v>47</v>
      </c>
      <c r="P31" s="3">
        <v>32714</v>
      </c>
      <c r="R31" s="3" t="s">
        <v>3429</v>
      </c>
    </row>
    <row r="32" spans="1:18" ht="188.25" customHeight="1">
      <c r="A32" s="13"/>
      <c r="B32" s="11" t="s">
        <v>1412</v>
      </c>
      <c r="C32" s="10" t="s">
        <v>2844</v>
      </c>
      <c r="D32" s="350" t="s">
        <v>3218</v>
      </c>
      <c r="E32" s="13"/>
      <c r="F32" s="13"/>
      <c r="G32" s="37"/>
      <c r="H32" s="57"/>
      <c r="I32" s="17"/>
      <c r="J32" s="26"/>
      <c r="K32" s="18" t="s">
        <v>3217</v>
      </c>
      <c r="L32" s="360"/>
      <c r="M32" s="360"/>
      <c r="N32" s="3"/>
    </row>
    <row r="33" spans="1:20" s="131" customFormat="1" ht="278.25" customHeight="1">
      <c r="A33" s="234"/>
      <c r="B33" s="11" t="s">
        <v>1148</v>
      </c>
      <c r="C33" s="10" t="s">
        <v>2352</v>
      </c>
      <c r="D33" s="32" t="s">
        <v>3462</v>
      </c>
      <c r="E33" s="12">
        <v>4</v>
      </c>
      <c r="F33" s="12">
        <v>2</v>
      </c>
      <c r="G33" s="12" t="s">
        <v>16</v>
      </c>
      <c r="H33" s="58" t="s">
        <v>18</v>
      </c>
      <c r="I33" s="24" t="s">
        <v>19</v>
      </c>
      <c r="J33" s="26" t="s">
        <v>90</v>
      </c>
      <c r="K33" s="18" t="s">
        <v>2350</v>
      </c>
      <c r="L33" s="25" t="s">
        <v>2214</v>
      </c>
      <c r="M33" s="25" t="s">
        <v>2214</v>
      </c>
      <c r="N33" s="2">
        <v>8853</v>
      </c>
      <c r="O33" s="3">
        <v>9676</v>
      </c>
      <c r="P33" s="3"/>
      <c r="R33" s="3" t="s">
        <v>2188</v>
      </c>
    </row>
    <row r="34" spans="1:20" ht="255" customHeight="1">
      <c r="A34" s="13">
        <v>16</v>
      </c>
      <c r="B34" s="11" t="s">
        <v>1149</v>
      </c>
      <c r="C34" s="10" t="s">
        <v>2771</v>
      </c>
      <c r="D34" s="350" t="s">
        <v>2772</v>
      </c>
      <c r="E34" s="12"/>
      <c r="F34" s="12"/>
      <c r="G34" s="12" t="s">
        <v>16</v>
      </c>
      <c r="H34" s="59" t="s">
        <v>81</v>
      </c>
      <c r="I34" s="10" t="s">
        <v>571</v>
      </c>
      <c r="J34" s="59" t="s">
        <v>93</v>
      </c>
      <c r="K34" s="14">
        <v>45990</v>
      </c>
      <c r="L34" s="344" t="s">
        <v>1717</v>
      </c>
    </row>
    <row r="35" spans="1:20" ht="264" customHeight="1">
      <c r="A35" s="13">
        <v>19</v>
      </c>
      <c r="B35" s="11" t="s">
        <v>2308</v>
      </c>
      <c r="C35" s="10" t="s">
        <v>2309</v>
      </c>
      <c r="D35" s="32" t="s">
        <v>1809</v>
      </c>
      <c r="E35" s="12"/>
      <c r="F35" s="12">
        <v>1</v>
      </c>
      <c r="G35" s="37" t="s">
        <v>1521</v>
      </c>
      <c r="H35" s="61" t="s">
        <v>18</v>
      </c>
      <c r="I35" s="17" t="s">
        <v>19</v>
      </c>
      <c r="J35" s="58" t="s">
        <v>95</v>
      </c>
      <c r="K35" s="18" t="s">
        <v>1637</v>
      </c>
      <c r="L35" s="25" t="s">
        <v>1887</v>
      </c>
      <c r="M35" s="25" t="s">
        <v>1887</v>
      </c>
      <c r="N35" s="2">
        <v>9676</v>
      </c>
      <c r="R35" s="3" t="s">
        <v>3266</v>
      </c>
    </row>
    <row r="36" spans="1:20" ht="409.5">
      <c r="A36" s="13"/>
      <c r="B36" s="11" t="s">
        <v>1150</v>
      </c>
      <c r="C36" s="10" t="s">
        <v>2607</v>
      </c>
      <c r="D36" s="32" t="s">
        <v>2605</v>
      </c>
      <c r="E36" s="12"/>
      <c r="F36" s="37"/>
      <c r="G36" s="12" t="s">
        <v>16</v>
      </c>
      <c r="H36" s="58" t="s">
        <v>96</v>
      </c>
      <c r="I36" s="17" t="s">
        <v>55</v>
      </c>
      <c r="J36" s="58" t="s">
        <v>97</v>
      </c>
      <c r="K36" s="18" t="s">
        <v>2606</v>
      </c>
      <c r="L36" s="25" t="s">
        <v>2379</v>
      </c>
      <c r="M36" s="25" t="s">
        <v>2379</v>
      </c>
      <c r="N36" s="2" t="s">
        <v>89</v>
      </c>
    </row>
    <row r="37" spans="1:20" ht="150" customHeight="1">
      <c r="A37" s="13"/>
      <c r="B37" s="11" t="s">
        <v>1151</v>
      </c>
      <c r="C37" s="10" t="s">
        <v>98</v>
      </c>
      <c r="D37" s="32" t="s">
        <v>99</v>
      </c>
      <c r="E37" s="12"/>
      <c r="F37" s="37">
        <v>1</v>
      </c>
      <c r="G37" s="12" t="s">
        <v>16</v>
      </c>
      <c r="H37" s="58" t="s">
        <v>96</v>
      </c>
      <c r="I37" s="17" t="s">
        <v>19</v>
      </c>
      <c r="J37" s="58" t="s">
        <v>100</v>
      </c>
      <c r="K37" s="14" t="s">
        <v>71</v>
      </c>
      <c r="L37" s="19" t="s">
        <v>101</v>
      </c>
      <c r="M37" s="20"/>
      <c r="N37" s="2">
        <v>32192</v>
      </c>
    </row>
    <row r="38" spans="1:20" ht="223.5" customHeight="1">
      <c r="A38" s="13">
        <v>21</v>
      </c>
      <c r="B38" s="11" t="s">
        <v>1152</v>
      </c>
      <c r="C38" s="10" t="s">
        <v>102</v>
      </c>
      <c r="D38" s="32" t="s">
        <v>103</v>
      </c>
      <c r="E38" s="12"/>
      <c r="F38" s="37">
        <v>1</v>
      </c>
      <c r="G38" s="12" t="s">
        <v>16</v>
      </c>
      <c r="H38" s="58" t="s">
        <v>96</v>
      </c>
      <c r="I38" s="17" t="s">
        <v>19</v>
      </c>
      <c r="J38" s="58" t="s">
        <v>104</v>
      </c>
      <c r="K38" s="18" t="s">
        <v>79</v>
      </c>
      <c r="L38" s="19" t="s">
        <v>105</v>
      </c>
      <c r="M38" s="20"/>
      <c r="N38" s="2">
        <v>9676</v>
      </c>
      <c r="O38" s="3" t="s">
        <v>63</v>
      </c>
      <c r="P38" s="14" t="s">
        <v>1000</v>
      </c>
      <c r="Q38" s="19" t="s">
        <v>72</v>
      </c>
    </row>
    <row r="39" spans="1:20" ht="295.5" customHeight="1">
      <c r="A39" s="13"/>
      <c r="B39" s="62" t="s">
        <v>1153</v>
      </c>
      <c r="C39" s="11" t="s">
        <v>2515</v>
      </c>
      <c r="D39" s="32" t="s">
        <v>2516</v>
      </c>
      <c r="E39" s="12"/>
      <c r="F39" s="37">
        <v>1</v>
      </c>
      <c r="G39" s="12" t="s">
        <v>16</v>
      </c>
      <c r="H39" s="58" t="s">
        <v>96</v>
      </c>
      <c r="I39" s="24" t="s">
        <v>1470</v>
      </c>
      <c r="J39" s="58" t="s">
        <v>107</v>
      </c>
      <c r="K39" s="18" t="s">
        <v>357</v>
      </c>
      <c r="L39" s="20" t="s">
        <v>1074</v>
      </c>
      <c r="M39" s="20" t="s">
        <v>1074</v>
      </c>
      <c r="N39" s="2">
        <v>9676</v>
      </c>
      <c r="R39" s="3" t="s">
        <v>3348</v>
      </c>
    </row>
    <row r="40" spans="1:20" ht="322.5" customHeight="1">
      <c r="A40" s="13"/>
      <c r="B40" s="11" t="s">
        <v>3035</v>
      </c>
      <c r="C40" s="10" t="s">
        <v>3036</v>
      </c>
      <c r="D40" s="32" t="s">
        <v>3037</v>
      </c>
      <c r="E40" s="12">
        <v>4</v>
      </c>
      <c r="F40" s="37" t="s">
        <v>15</v>
      </c>
      <c r="G40" s="37" t="s">
        <v>109</v>
      </c>
      <c r="H40" s="58" t="s">
        <v>96</v>
      </c>
      <c r="I40" s="17" t="s">
        <v>19</v>
      </c>
      <c r="J40" s="58">
        <v>6503652681</v>
      </c>
      <c r="K40" s="18" t="s">
        <v>3030</v>
      </c>
      <c r="L40" s="20"/>
      <c r="M40" s="20" t="s">
        <v>2887</v>
      </c>
      <c r="N40" s="2">
        <v>9676</v>
      </c>
      <c r="O40" s="3">
        <v>9676</v>
      </c>
      <c r="P40" s="3">
        <v>9676</v>
      </c>
      <c r="Q40" s="2">
        <v>32192</v>
      </c>
      <c r="R40" s="12" t="s">
        <v>3140</v>
      </c>
    </row>
    <row r="41" spans="1:20" ht="291.75" customHeight="1">
      <c r="A41" s="13">
        <v>22</v>
      </c>
      <c r="B41" s="11" t="s">
        <v>1154</v>
      </c>
      <c r="C41" s="10" t="s">
        <v>2008</v>
      </c>
      <c r="D41" s="32" t="s">
        <v>931</v>
      </c>
      <c r="E41" s="12">
        <v>4</v>
      </c>
      <c r="F41" s="37">
        <v>1</v>
      </c>
      <c r="G41" s="12" t="s">
        <v>16</v>
      </c>
      <c r="H41" s="58" t="s">
        <v>96</v>
      </c>
      <c r="I41" s="24" t="s">
        <v>2009</v>
      </c>
      <c r="J41" s="58" t="s">
        <v>111</v>
      </c>
      <c r="K41" s="18" t="s">
        <v>2010</v>
      </c>
      <c r="L41" s="47" t="s">
        <v>2000</v>
      </c>
      <c r="M41" s="46"/>
      <c r="N41" s="2">
        <v>32714</v>
      </c>
      <c r="P41" s="14"/>
      <c r="Q41" s="47"/>
      <c r="R41" s="3" t="s">
        <v>63</v>
      </c>
      <c r="S41" s="14" t="s">
        <v>76</v>
      </c>
      <c r="T41" s="47" t="s">
        <v>72</v>
      </c>
    </row>
    <row r="42" spans="1:20" ht="256.5" customHeight="1">
      <c r="A42" s="13"/>
      <c r="B42" s="11" t="s">
        <v>922</v>
      </c>
      <c r="C42" s="10" t="s">
        <v>2677</v>
      </c>
      <c r="D42" s="350" t="s">
        <v>2753</v>
      </c>
      <c r="E42" s="12">
        <v>4</v>
      </c>
      <c r="F42" s="37">
        <v>2</v>
      </c>
      <c r="G42" s="37" t="s">
        <v>110</v>
      </c>
      <c r="H42" s="58" t="s">
        <v>96</v>
      </c>
      <c r="I42" s="24" t="s">
        <v>1471</v>
      </c>
      <c r="J42" s="63" t="s">
        <v>923</v>
      </c>
      <c r="K42" s="122" t="s">
        <v>924</v>
      </c>
      <c r="L42" s="18" t="s">
        <v>2754</v>
      </c>
      <c r="M42" s="46"/>
      <c r="N42" s="2">
        <v>32714</v>
      </c>
      <c r="O42" s="3">
        <v>32714</v>
      </c>
      <c r="P42" s="15"/>
      <c r="Q42" s="46"/>
      <c r="R42" s="3" t="s">
        <v>47</v>
      </c>
    </row>
    <row r="43" spans="1:20" ht="153.75" customHeight="1">
      <c r="A43" s="13">
        <v>23</v>
      </c>
      <c r="B43" s="103" t="s">
        <v>1155</v>
      </c>
      <c r="C43" s="165" t="s">
        <v>112</v>
      </c>
      <c r="D43" s="225" t="s">
        <v>113</v>
      </c>
      <c r="E43" s="166"/>
      <c r="F43" s="166">
        <v>1</v>
      </c>
      <c r="G43" s="105" t="s">
        <v>16</v>
      </c>
      <c r="H43" s="195" t="s">
        <v>114</v>
      </c>
      <c r="I43" s="178" t="s">
        <v>19</v>
      </c>
      <c r="J43" s="195" t="s">
        <v>115</v>
      </c>
      <c r="K43" s="175" t="s">
        <v>76</v>
      </c>
      <c r="L43" s="25" t="s">
        <v>101</v>
      </c>
      <c r="M43" s="25"/>
      <c r="N43" s="2">
        <v>32192</v>
      </c>
    </row>
    <row r="44" spans="1:20" ht="259.5" customHeight="1">
      <c r="A44" s="13">
        <v>26</v>
      </c>
      <c r="B44" s="11" t="s">
        <v>2723</v>
      </c>
      <c r="C44" s="10" t="s">
        <v>2724</v>
      </c>
      <c r="D44" s="10" t="s">
        <v>2725</v>
      </c>
      <c r="E44" s="13"/>
      <c r="F44" s="13"/>
      <c r="G44" s="12" t="s">
        <v>16</v>
      </c>
      <c r="H44" s="173" t="s">
        <v>43</v>
      </c>
      <c r="I44" s="24" t="s">
        <v>571</v>
      </c>
      <c r="J44" s="49" t="s">
        <v>117</v>
      </c>
      <c r="K44" s="119">
        <v>45942</v>
      </c>
      <c r="L44" s="344" t="s">
        <v>2726</v>
      </c>
      <c r="M44" s="19"/>
      <c r="N44" s="2">
        <v>13456</v>
      </c>
      <c r="O44" s="3" t="s">
        <v>47</v>
      </c>
      <c r="Q44" s="3" t="s">
        <v>1714</v>
      </c>
    </row>
    <row r="45" spans="1:20" ht="259.5" customHeight="1">
      <c r="A45" s="13"/>
      <c r="B45" s="11" t="s">
        <v>3019</v>
      </c>
      <c r="C45" s="93" t="s">
        <v>3020</v>
      </c>
      <c r="D45" s="151" t="s">
        <v>3255</v>
      </c>
      <c r="E45" s="305">
        <v>4</v>
      </c>
      <c r="F45" s="305">
        <v>1</v>
      </c>
      <c r="G45" s="304" t="s">
        <v>16</v>
      </c>
      <c r="H45" s="347" t="s">
        <v>96</v>
      </c>
      <c r="I45" s="224" t="s">
        <v>3121</v>
      </c>
      <c r="J45" s="348"/>
      <c r="K45" s="76" t="s">
        <v>3435</v>
      </c>
      <c r="L45" s="226"/>
      <c r="M45" s="77" t="s">
        <v>3436</v>
      </c>
      <c r="N45" s="2">
        <v>9676</v>
      </c>
      <c r="R45" s="162" t="s">
        <v>2196</v>
      </c>
    </row>
    <row r="46" spans="1:20" ht="98.25" customHeight="1">
      <c r="A46" s="13"/>
      <c r="B46" s="11" t="s">
        <v>2723</v>
      </c>
      <c r="C46" s="10" t="s">
        <v>2724</v>
      </c>
      <c r="D46" s="11" t="s">
        <v>2780</v>
      </c>
      <c r="E46" s="13"/>
      <c r="F46" s="13">
        <v>1</v>
      </c>
      <c r="G46" s="12" t="s">
        <v>16</v>
      </c>
      <c r="H46" s="58" t="s">
        <v>43</v>
      </c>
      <c r="I46" s="24" t="s">
        <v>55</v>
      </c>
      <c r="J46" s="30" t="s">
        <v>117</v>
      </c>
      <c r="K46" s="119">
        <v>45942</v>
      </c>
      <c r="L46" s="344" t="s">
        <v>2726</v>
      </c>
      <c r="N46" s="2" t="s">
        <v>119</v>
      </c>
    </row>
    <row r="47" spans="1:20" ht="258.75" customHeight="1">
      <c r="A47" s="13">
        <v>27</v>
      </c>
      <c r="B47" s="11" t="s">
        <v>3062</v>
      </c>
      <c r="C47" s="10" t="s">
        <v>3063</v>
      </c>
      <c r="D47" s="11" t="s">
        <v>3064</v>
      </c>
      <c r="E47" s="13"/>
      <c r="F47" s="13">
        <v>1</v>
      </c>
      <c r="G47" s="12" t="s">
        <v>16</v>
      </c>
      <c r="H47" s="58" t="s">
        <v>43</v>
      </c>
      <c r="I47" s="9" t="s">
        <v>3065</v>
      </c>
      <c r="J47" s="26" t="s">
        <v>120</v>
      </c>
      <c r="K47" s="18" t="s">
        <v>1728</v>
      </c>
      <c r="L47" s="20"/>
      <c r="M47" s="20" t="s">
        <v>3002</v>
      </c>
      <c r="N47" s="3" t="s">
        <v>89</v>
      </c>
      <c r="O47" s="3" t="s">
        <v>89</v>
      </c>
      <c r="R47" s="13" t="s">
        <v>2861</v>
      </c>
    </row>
    <row r="48" spans="1:20" ht="318.75">
      <c r="A48" s="13">
        <v>29</v>
      </c>
      <c r="B48" s="11" t="s">
        <v>2326</v>
      </c>
      <c r="C48" s="10" t="s">
        <v>122</v>
      </c>
      <c r="D48" s="11" t="s">
        <v>123</v>
      </c>
      <c r="E48" s="12"/>
      <c r="F48" s="12">
        <v>1</v>
      </c>
      <c r="G48" s="12" t="s">
        <v>16</v>
      </c>
      <c r="H48" s="34" t="s">
        <v>124</v>
      </c>
      <c r="I48" s="17" t="s">
        <v>19</v>
      </c>
      <c r="J48" s="13" t="s">
        <v>125</v>
      </c>
      <c r="K48" s="18" t="s">
        <v>1735</v>
      </c>
      <c r="L48" s="25" t="s">
        <v>1728</v>
      </c>
      <c r="M48" s="25"/>
      <c r="N48" s="2">
        <v>32714</v>
      </c>
      <c r="O48" s="3" t="s">
        <v>47</v>
      </c>
      <c r="R48" s="12" t="s">
        <v>3128</v>
      </c>
    </row>
    <row r="49" spans="1:31" ht="241.5" customHeight="1">
      <c r="A49" s="13"/>
      <c r="B49" s="11" t="s">
        <v>1845</v>
      </c>
      <c r="C49" s="10" t="s">
        <v>1846</v>
      </c>
      <c r="D49" s="11" t="s">
        <v>1847</v>
      </c>
      <c r="E49" s="12"/>
      <c r="F49" s="12">
        <v>3</v>
      </c>
      <c r="G49" s="12" t="s">
        <v>16</v>
      </c>
      <c r="H49" s="58" t="s">
        <v>81</v>
      </c>
      <c r="I49" s="17" t="s">
        <v>19</v>
      </c>
      <c r="J49" s="30"/>
      <c r="K49" s="18" t="s">
        <v>1848</v>
      </c>
      <c r="L49" s="25" t="s">
        <v>1784</v>
      </c>
      <c r="P49" s="3">
        <v>32714</v>
      </c>
      <c r="R49" s="12" t="s">
        <v>3056</v>
      </c>
    </row>
    <row r="50" spans="1:31" ht="409.5">
      <c r="A50" s="13"/>
      <c r="B50" s="11" t="s">
        <v>3259</v>
      </c>
      <c r="C50" s="66" t="s">
        <v>3107</v>
      </c>
      <c r="D50" s="11" t="s">
        <v>3260</v>
      </c>
      <c r="E50" s="12">
        <v>4</v>
      </c>
      <c r="F50" s="12">
        <v>3</v>
      </c>
      <c r="G50" s="12"/>
      <c r="H50" s="58"/>
      <c r="I50" s="17" t="s">
        <v>19</v>
      </c>
      <c r="J50" s="30"/>
      <c r="K50" s="18" t="s">
        <v>3261</v>
      </c>
      <c r="L50" s="25" t="s">
        <v>3226</v>
      </c>
      <c r="M50" s="25" t="s">
        <v>3226</v>
      </c>
      <c r="N50" s="99" t="s">
        <v>3390</v>
      </c>
      <c r="P50" s="3">
        <v>32714</v>
      </c>
    </row>
    <row r="51" spans="1:31" ht="170.25" customHeight="1">
      <c r="A51" s="13"/>
      <c r="B51" s="11" t="s">
        <v>2339</v>
      </c>
      <c r="C51" s="66" t="s">
        <v>128</v>
      </c>
      <c r="D51" s="11" t="s">
        <v>1764</v>
      </c>
      <c r="E51" s="12"/>
      <c r="F51" s="12">
        <v>1</v>
      </c>
      <c r="G51" s="12" t="s">
        <v>16</v>
      </c>
      <c r="H51" s="58" t="s">
        <v>18</v>
      </c>
      <c r="I51" s="24" t="s">
        <v>1470</v>
      </c>
      <c r="J51" s="26" t="s">
        <v>129</v>
      </c>
      <c r="K51" s="18" t="s">
        <v>1762</v>
      </c>
      <c r="L51" s="25" t="s">
        <v>1731</v>
      </c>
      <c r="M51" s="25"/>
      <c r="N51" s="3">
        <v>32714</v>
      </c>
      <c r="R51" s="12" t="s">
        <v>3205</v>
      </c>
    </row>
    <row r="52" spans="1:31" ht="222.75" customHeight="1">
      <c r="A52" s="13"/>
      <c r="B52" s="11" t="s">
        <v>920</v>
      </c>
      <c r="C52" s="66" t="s">
        <v>2033</v>
      </c>
      <c r="D52" s="11" t="s">
        <v>2159</v>
      </c>
      <c r="E52" s="12"/>
      <c r="F52" s="12"/>
      <c r="G52" s="12" t="s">
        <v>16</v>
      </c>
      <c r="H52" s="58" t="s">
        <v>18</v>
      </c>
      <c r="I52" s="38" t="s">
        <v>571</v>
      </c>
      <c r="J52" s="30" t="s">
        <v>921</v>
      </c>
      <c r="K52" s="18" t="s">
        <v>2032</v>
      </c>
      <c r="L52" s="25" t="s">
        <v>1731</v>
      </c>
      <c r="M52" s="25" t="s">
        <v>2034</v>
      </c>
      <c r="N52" s="2">
        <v>7271</v>
      </c>
      <c r="R52" s="3" t="s">
        <v>3348</v>
      </c>
    </row>
    <row r="53" spans="1:31" ht="409.5">
      <c r="A53" s="13"/>
      <c r="B53" s="11" t="s">
        <v>1156</v>
      </c>
      <c r="C53" s="66" t="s">
        <v>839</v>
      </c>
      <c r="D53" s="11" t="s">
        <v>905</v>
      </c>
      <c r="E53" s="12"/>
      <c r="F53" s="12">
        <v>3</v>
      </c>
      <c r="G53" s="12" t="s">
        <v>16</v>
      </c>
      <c r="H53" s="58" t="s">
        <v>18</v>
      </c>
      <c r="I53" s="17" t="s">
        <v>19</v>
      </c>
      <c r="J53" s="26" t="s">
        <v>131</v>
      </c>
      <c r="K53" s="18" t="s">
        <v>906</v>
      </c>
      <c r="L53" s="25" t="s">
        <v>309</v>
      </c>
      <c r="M53" s="25"/>
      <c r="N53" s="2">
        <v>32714</v>
      </c>
      <c r="O53" s="3" t="s">
        <v>972</v>
      </c>
    </row>
    <row r="54" spans="1:31" ht="179.25" customHeight="1">
      <c r="A54" s="13"/>
      <c r="B54" s="11" t="s">
        <v>1157</v>
      </c>
      <c r="C54" s="66" t="s">
        <v>132</v>
      </c>
      <c r="D54" s="11" t="s">
        <v>133</v>
      </c>
      <c r="E54" s="13"/>
      <c r="F54" s="13">
        <v>1</v>
      </c>
      <c r="G54" s="52" t="s">
        <v>16</v>
      </c>
      <c r="H54" s="58" t="s">
        <v>134</v>
      </c>
      <c r="I54" s="10" t="s">
        <v>2070</v>
      </c>
      <c r="J54" s="28" t="s">
        <v>135</v>
      </c>
      <c r="K54" s="67" t="s">
        <v>2071</v>
      </c>
      <c r="L54" s="68"/>
      <c r="M54" s="68" t="s">
        <v>2072</v>
      </c>
      <c r="N54" s="3">
        <v>32714</v>
      </c>
      <c r="R54" s="3" t="s">
        <v>2721</v>
      </c>
      <c r="S54" s="3" t="s">
        <v>1849</v>
      </c>
    </row>
    <row r="55" spans="1:31" ht="201" customHeight="1">
      <c r="A55" s="13"/>
      <c r="B55" s="11" t="s">
        <v>1920</v>
      </c>
      <c r="C55" s="66" t="s">
        <v>937</v>
      </c>
      <c r="D55" s="11" t="s">
        <v>1921</v>
      </c>
      <c r="E55" s="13"/>
      <c r="F55" s="13">
        <v>3</v>
      </c>
      <c r="G55" s="52" t="s">
        <v>16</v>
      </c>
      <c r="H55" s="58" t="s">
        <v>81</v>
      </c>
      <c r="I55" s="10" t="s">
        <v>2106</v>
      </c>
      <c r="J55" s="28" t="s">
        <v>137</v>
      </c>
      <c r="K55" s="67" t="s">
        <v>1914</v>
      </c>
      <c r="L55" s="27" t="s">
        <v>1864</v>
      </c>
      <c r="M55" s="68"/>
      <c r="N55" s="3">
        <v>32714</v>
      </c>
      <c r="P55" s="3">
        <v>32714</v>
      </c>
      <c r="R55" s="3" t="s">
        <v>3369</v>
      </c>
    </row>
    <row r="56" spans="1:31" ht="56.25">
      <c r="A56" s="13"/>
      <c r="B56" s="11" t="s">
        <v>1158</v>
      </c>
      <c r="C56" s="66" t="s">
        <v>138</v>
      </c>
      <c r="D56" s="11" t="s">
        <v>139</v>
      </c>
      <c r="E56" s="13"/>
      <c r="F56" s="13"/>
      <c r="G56" s="52" t="s">
        <v>16</v>
      </c>
      <c r="H56" s="58" t="s">
        <v>43</v>
      </c>
      <c r="I56" s="69" t="s">
        <v>55</v>
      </c>
      <c r="J56" s="28">
        <v>2743.2233313000002</v>
      </c>
      <c r="K56" s="67" t="s">
        <v>1037</v>
      </c>
      <c r="L56" s="19"/>
      <c r="M56" s="20" t="s">
        <v>305</v>
      </c>
      <c r="N56" s="2">
        <v>4860</v>
      </c>
      <c r="R56" s="3" t="s">
        <v>2444</v>
      </c>
    </row>
    <row r="57" spans="1:31" ht="300" customHeight="1">
      <c r="A57" s="13"/>
      <c r="B57" s="11" t="s">
        <v>2530</v>
      </c>
      <c r="C57" s="66" t="s">
        <v>2529</v>
      </c>
      <c r="D57" s="11" t="s">
        <v>2531</v>
      </c>
      <c r="E57" s="13"/>
      <c r="F57" s="13"/>
      <c r="G57" s="52" t="s">
        <v>16</v>
      </c>
      <c r="H57" s="58" t="s">
        <v>81</v>
      </c>
      <c r="I57" s="69" t="s">
        <v>55</v>
      </c>
      <c r="J57" s="28" t="s">
        <v>141</v>
      </c>
      <c r="K57" s="68" t="s">
        <v>2518</v>
      </c>
      <c r="L57" s="68" t="s">
        <v>1074</v>
      </c>
      <c r="M57" s="68" t="s">
        <v>1074</v>
      </c>
      <c r="N57" s="2">
        <v>32192</v>
      </c>
    </row>
    <row r="58" spans="1:31" ht="300" customHeight="1">
      <c r="A58" s="13"/>
      <c r="B58" s="11" t="s">
        <v>2454</v>
      </c>
      <c r="C58" s="66" t="s">
        <v>2051</v>
      </c>
      <c r="D58" s="11" t="s">
        <v>2052</v>
      </c>
      <c r="E58" s="13"/>
      <c r="F58" s="13"/>
      <c r="G58" s="52"/>
      <c r="H58" s="58"/>
      <c r="I58" s="69" t="s">
        <v>2455</v>
      </c>
      <c r="J58" s="28"/>
      <c r="K58" s="68" t="s">
        <v>2453</v>
      </c>
      <c r="L58" s="68" t="s">
        <v>1785</v>
      </c>
      <c r="M58" s="68" t="s">
        <v>1859</v>
      </c>
      <c r="R58" s="3" t="s">
        <v>3177</v>
      </c>
    </row>
    <row r="59" spans="1:31" s="72" customFormat="1" ht="409.5">
      <c r="A59" s="13"/>
      <c r="B59" s="11" t="s">
        <v>3395</v>
      </c>
      <c r="C59" s="66" t="s">
        <v>3396</v>
      </c>
      <c r="D59" s="11" t="s">
        <v>3397</v>
      </c>
      <c r="E59" s="13">
        <v>4</v>
      </c>
      <c r="F59" s="13">
        <v>1</v>
      </c>
      <c r="G59" s="52" t="s">
        <v>16</v>
      </c>
      <c r="H59" s="58" t="s">
        <v>81</v>
      </c>
      <c r="I59" s="9" t="s">
        <v>142</v>
      </c>
      <c r="J59" s="71">
        <v>6503785955</v>
      </c>
      <c r="K59" s="76" t="s">
        <v>3394</v>
      </c>
      <c r="L59" s="20"/>
      <c r="M59" s="20" t="s">
        <v>3398</v>
      </c>
      <c r="N59" s="2">
        <v>9676</v>
      </c>
      <c r="O59" s="3"/>
      <c r="P59" s="50"/>
      <c r="Q59" s="19"/>
      <c r="R59" s="3" t="s">
        <v>3178</v>
      </c>
      <c r="S59" s="3"/>
      <c r="T59" s="3"/>
      <c r="U59" s="3"/>
      <c r="V59" s="3"/>
      <c r="W59" s="3"/>
      <c r="X59" s="3"/>
      <c r="Y59" s="3"/>
      <c r="Z59" s="3"/>
      <c r="AA59" s="3"/>
      <c r="AB59" s="3"/>
      <c r="AC59" s="3"/>
      <c r="AD59" s="3"/>
      <c r="AE59" s="3"/>
    </row>
    <row r="60" spans="1:31" ht="154.5" customHeight="1">
      <c r="A60" s="13"/>
      <c r="B60" s="11" t="s">
        <v>1159</v>
      </c>
      <c r="C60" s="73" t="s">
        <v>1474</v>
      </c>
      <c r="D60" s="11" t="s">
        <v>143</v>
      </c>
      <c r="E60" s="13"/>
      <c r="F60" s="13">
        <v>1</v>
      </c>
      <c r="G60" s="52" t="s">
        <v>16</v>
      </c>
      <c r="H60" s="58" t="s">
        <v>81</v>
      </c>
      <c r="I60" s="9" t="s">
        <v>142</v>
      </c>
      <c r="J60" s="71">
        <v>6503785955</v>
      </c>
      <c r="K60" s="50">
        <v>43249</v>
      </c>
      <c r="L60" s="54"/>
      <c r="M60" s="54"/>
      <c r="N60" s="2" t="s">
        <v>119</v>
      </c>
      <c r="O60" s="3" t="s">
        <v>47</v>
      </c>
      <c r="P60" s="52">
        <v>44489</v>
      </c>
      <c r="Q60" s="47" t="s">
        <v>62</v>
      </c>
    </row>
    <row r="61" spans="1:31" ht="375">
      <c r="A61" s="13"/>
      <c r="B61" s="74" t="s">
        <v>1475</v>
      </c>
      <c r="C61" s="10" t="s">
        <v>144</v>
      </c>
      <c r="D61" s="11" t="s">
        <v>1036</v>
      </c>
      <c r="E61" s="13"/>
      <c r="F61" s="13">
        <v>1</v>
      </c>
      <c r="G61" s="52" t="s">
        <v>16</v>
      </c>
      <c r="H61" s="58" t="s">
        <v>81</v>
      </c>
      <c r="I61" s="75" t="s">
        <v>145</v>
      </c>
      <c r="J61" s="71"/>
      <c r="K61" s="76" t="s">
        <v>1035</v>
      </c>
      <c r="L61" s="77" t="s">
        <v>58</v>
      </c>
      <c r="M61" s="77"/>
      <c r="N61" s="2">
        <v>32714</v>
      </c>
    </row>
    <row r="62" spans="1:31" ht="375">
      <c r="A62" s="13"/>
      <c r="B62" s="11" t="s">
        <v>2331</v>
      </c>
      <c r="C62" s="66" t="s">
        <v>953</v>
      </c>
      <c r="D62" s="11" t="s">
        <v>146</v>
      </c>
      <c r="E62" s="13"/>
      <c r="F62" s="13">
        <v>1</v>
      </c>
      <c r="G62" s="52" t="s">
        <v>16</v>
      </c>
      <c r="H62" s="58" t="s">
        <v>81</v>
      </c>
      <c r="I62" s="24" t="s">
        <v>1476</v>
      </c>
      <c r="J62" s="28" t="s">
        <v>147</v>
      </c>
      <c r="K62" s="67" t="s">
        <v>1770</v>
      </c>
      <c r="L62" s="68" t="s">
        <v>1771</v>
      </c>
      <c r="M62" s="68" t="s">
        <v>1771</v>
      </c>
      <c r="N62" s="2">
        <v>32714</v>
      </c>
      <c r="R62" s="13" t="s">
        <v>3167</v>
      </c>
    </row>
    <row r="63" spans="1:31" ht="179.25" customHeight="1">
      <c r="A63" s="13"/>
      <c r="B63" s="11" t="s">
        <v>1394</v>
      </c>
      <c r="C63" s="66" t="s">
        <v>148</v>
      </c>
      <c r="D63" s="11" t="s">
        <v>149</v>
      </c>
      <c r="E63" s="12"/>
      <c r="F63" s="13">
        <v>1</v>
      </c>
      <c r="G63" s="52" t="s">
        <v>16</v>
      </c>
      <c r="H63" s="58" t="s">
        <v>81</v>
      </c>
      <c r="I63" s="78" t="s">
        <v>19</v>
      </c>
      <c r="J63" s="79" t="s">
        <v>150</v>
      </c>
      <c r="K63" s="80" t="s">
        <v>151</v>
      </c>
      <c r="L63" s="19" t="s">
        <v>152</v>
      </c>
      <c r="M63" s="20"/>
      <c r="N63" s="3">
        <v>32714</v>
      </c>
      <c r="O63" s="3" t="s">
        <v>153</v>
      </c>
      <c r="P63" s="81">
        <v>44489</v>
      </c>
      <c r="Q63" s="19" t="s">
        <v>62</v>
      </c>
      <c r="R63" s="3" t="s">
        <v>1979</v>
      </c>
    </row>
    <row r="64" spans="1:31" ht="204.75" customHeight="1">
      <c r="A64" s="13"/>
      <c r="B64" s="11" t="s">
        <v>1160</v>
      </c>
      <c r="C64" s="66" t="s">
        <v>2087</v>
      </c>
      <c r="D64" s="11" t="s">
        <v>154</v>
      </c>
      <c r="E64" s="12"/>
      <c r="F64" s="13">
        <v>1</v>
      </c>
      <c r="G64" s="52" t="s">
        <v>16</v>
      </c>
      <c r="H64" s="58" t="s">
        <v>81</v>
      </c>
      <c r="I64" s="24" t="s">
        <v>1468</v>
      </c>
      <c r="J64" s="28" t="s">
        <v>155</v>
      </c>
      <c r="K64" s="18" t="s">
        <v>2084</v>
      </c>
      <c r="L64" s="20" t="s">
        <v>2085</v>
      </c>
      <c r="M64" s="20"/>
      <c r="N64" s="2">
        <v>9676</v>
      </c>
      <c r="R64" s="3" t="s">
        <v>3264</v>
      </c>
    </row>
    <row r="65" spans="1:18" ht="337.5">
      <c r="A65" s="13"/>
      <c r="B65" s="11" t="s">
        <v>2098</v>
      </c>
      <c r="C65" s="11" t="s">
        <v>156</v>
      </c>
      <c r="D65" s="11" t="s">
        <v>157</v>
      </c>
      <c r="E65" s="12"/>
      <c r="F65" s="12">
        <v>1</v>
      </c>
      <c r="G65" s="52" t="s">
        <v>16</v>
      </c>
      <c r="H65" s="58" t="s">
        <v>81</v>
      </c>
      <c r="I65" s="24" t="s">
        <v>1477</v>
      </c>
      <c r="J65" s="28" t="s">
        <v>158</v>
      </c>
      <c r="K65" s="52" t="s">
        <v>2095</v>
      </c>
      <c r="L65" s="46" t="s">
        <v>1885</v>
      </c>
      <c r="M65" s="46" t="s">
        <v>1885</v>
      </c>
      <c r="N65" s="162" t="s">
        <v>2442</v>
      </c>
      <c r="O65" s="3" t="s">
        <v>63</v>
      </c>
      <c r="P65" s="52">
        <v>44489</v>
      </c>
      <c r="Q65" s="47" t="s">
        <v>62</v>
      </c>
      <c r="R65" s="3" t="s">
        <v>3205</v>
      </c>
    </row>
    <row r="66" spans="1:18" ht="225">
      <c r="A66" s="13"/>
      <c r="B66" s="11" t="s">
        <v>3399</v>
      </c>
      <c r="C66" s="11" t="s">
        <v>3400</v>
      </c>
      <c r="D66" s="11" t="s">
        <v>3401</v>
      </c>
      <c r="E66" s="12">
        <v>4</v>
      </c>
      <c r="F66" s="12">
        <v>1</v>
      </c>
      <c r="G66" s="12"/>
      <c r="H66" s="58"/>
      <c r="I66" s="13" t="s">
        <v>19</v>
      </c>
      <c r="J66" s="28"/>
      <c r="K66" s="67" t="s">
        <v>3402</v>
      </c>
      <c r="L66" s="19"/>
      <c r="M66" s="19" t="s">
        <v>3354</v>
      </c>
      <c r="N66" s="2">
        <v>32714</v>
      </c>
      <c r="P66" s="70"/>
      <c r="Q66" s="20"/>
      <c r="R66" s="12">
        <v>4</v>
      </c>
    </row>
    <row r="67" spans="1:18" ht="300">
      <c r="A67" s="13"/>
      <c r="B67" s="11" t="s">
        <v>1161</v>
      </c>
      <c r="C67" s="11" t="s">
        <v>159</v>
      </c>
      <c r="D67" s="11" t="s">
        <v>160</v>
      </c>
      <c r="E67" s="12"/>
      <c r="F67" s="12">
        <v>1</v>
      </c>
      <c r="G67" s="12" t="s">
        <v>16</v>
      </c>
      <c r="H67" s="58" t="s">
        <v>81</v>
      </c>
      <c r="I67" s="13" t="s">
        <v>19</v>
      </c>
      <c r="J67" s="82" t="s">
        <v>161</v>
      </c>
      <c r="K67" s="83" t="s">
        <v>162</v>
      </c>
      <c r="L67" s="35" t="s">
        <v>163</v>
      </c>
      <c r="M67" s="36"/>
      <c r="N67" s="2">
        <v>7271</v>
      </c>
      <c r="O67" s="3" t="s">
        <v>890</v>
      </c>
    </row>
    <row r="68" spans="1:18" ht="333" customHeight="1">
      <c r="A68" s="13"/>
      <c r="B68" s="11" t="s">
        <v>1162</v>
      </c>
      <c r="C68" s="11" t="s">
        <v>2892</v>
      </c>
      <c r="D68" s="11" t="s">
        <v>2893</v>
      </c>
      <c r="E68" s="12">
        <v>4</v>
      </c>
      <c r="F68" s="12">
        <v>4</v>
      </c>
      <c r="G68" s="12" t="s">
        <v>16</v>
      </c>
      <c r="H68" s="58" t="s">
        <v>81</v>
      </c>
      <c r="I68" s="13" t="s">
        <v>19</v>
      </c>
      <c r="J68" s="82" t="s">
        <v>164</v>
      </c>
      <c r="K68" s="67" t="s">
        <v>2229</v>
      </c>
      <c r="L68" s="19" t="s">
        <v>2595</v>
      </c>
      <c r="M68" s="19" t="s">
        <v>2595</v>
      </c>
      <c r="N68" s="2">
        <v>4860</v>
      </c>
      <c r="Q68" s="3">
        <v>32714</v>
      </c>
      <c r="R68" s="162" t="s">
        <v>485</v>
      </c>
    </row>
    <row r="69" spans="1:18" ht="246.75" customHeight="1">
      <c r="A69" s="13"/>
      <c r="B69" s="11" t="s">
        <v>1163</v>
      </c>
      <c r="C69" s="11" t="s">
        <v>165</v>
      </c>
      <c r="D69" s="11" t="s">
        <v>1824</v>
      </c>
      <c r="E69" s="12"/>
      <c r="F69" s="12">
        <v>4</v>
      </c>
      <c r="G69" s="12" t="s">
        <v>16</v>
      </c>
      <c r="H69" s="58" t="s">
        <v>81</v>
      </c>
      <c r="I69" s="13" t="s">
        <v>19</v>
      </c>
      <c r="J69" s="28" t="s">
        <v>166</v>
      </c>
      <c r="K69" s="67" t="s">
        <v>1735</v>
      </c>
      <c r="L69" s="68" t="s">
        <v>1676</v>
      </c>
      <c r="M69" s="68"/>
      <c r="N69" s="2">
        <v>4860</v>
      </c>
      <c r="Q69" s="3">
        <v>32714</v>
      </c>
      <c r="R69" s="3" t="s">
        <v>2865</v>
      </c>
    </row>
    <row r="70" spans="1:18" ht="281.25" customHeight="1">
      <c r="A70" s="13"/>
      <c r="B70" s="11" t="s">
        <v>1164</v>
      </c>
      <c r="C70" s="11" t="s">
        <v>167</v>
      </c>
      <c r="D70" s="11" t="s">
        <v>1542</v>
      </c>
      <c r="E70" s="12"/>
      <c r="F70" s="12">
        <v>3</v>
      </c>
      <c r="G70" s="12" t="s">
        <v>16</v>
      </c>
      <c r="H70" s="58" t="s">
        <v>81</v>
      </c>
      <c r="I70" s="24" t="s">
        <v>1469</v>
      </c>
      <c r="J70" s="82" t="s">
        <v>168</v>
      </c>
      <c r="K70" s="67" t="s">
        <v>1387</v>
      </c>
      <c r="L70" s="19"/>
      <c r="M70" s="19" t="s">
        <v>540</v>
      </c>
      <c r="N70" s="2">
        <v>4860</v>
      </c>
      <c r="P70" s="3">
        <v>32192</v>
      </c>
      <c r="Q70" s="3">
        <v>8853</v>
      </c>
      <c r="R70" s="162" t="s">
        <v>2547</v>
      </c>
    </row>
    <row r="71" spans="1:18" s="131" customFormat="1" ht="281.25" customHeight="1">
      <c r="A71" s="234"/>
      <c r="B71" s="235" t="s">
        <v>978</v>
      </c>
      <c r="C71" s="235" t="s">
        <v>277</v>
      </c>
      <c r="D71" s="235" t="s">
        <v>979</v>
      </c>
      <c r="E71" s="244"/>
      <c r="F71" s="244">
        <v>4</v>
      </c>
      <c r="G71" s="244" t="s">
        <v>16</v>
      </c>
      <c r="H71" s="284" t="s">
        <v>81</v>
      </c>
      <c r="I71" s="237" t="s">
        <v>980</v>
      </c>
      <c r="J71" s="257"/>
      <c r="K71" s="285" t="s">
        <v>981</v>
      </c>
      <c r="L71" s="23" t="s">
        <v>982</v>
      </c>
      <c r="M71" s="23"/>
      <c r="N71" s="255">
        <v>4860</v>
      </c>
      <c r="Q71" s="131">
        <v>32714</v>
      </c>
      <c r="R71" s="131" t="s">
        <v>2110</v>
      </c>
    </row>
    <row r="72" spans="1:18" ht="356.25">
      <c r="A72" s="13"/>
      <c r="B72" s="11" t="s">
        <v>3296</v>
      </c>
      <c r="C72" s="11" t="s">
        <v>3297</v>
      </c>
      <c r="D72" s="343" t="s">
        <v>3298</v>
      </c>
      <c r="E72" s="13">
        <v>4</v>
      </c>
      <c r="F72" s="13">
        <v>1</v>
      </c>
      <c r="G72" s="12" t="s">
        <v>16</v>
      </c>
      <c r="H72" s="34" t="s">
        <v>43</v>
      </c>
      <c r="I72" s="24" t="s">
        <v>3299</v>
      </c>
      <c r="J72" s="28" t="s">
        <v>171</v>
      </c>
      <c r="K72" s="363" t="s">
        <v>3285</v>
      </c>
      <c r="L72" s="363" t="s">
        <v>3226</v>
      </c>
      <c r="M72" s="363" t="s">
        <v>3226</v>
      </c>
      <c r="N72" s="39" t="s">
        <v>3300</v>
      </c>
      <c r="O72" s="39" t="s">
        <v>3281</v>
      </c>
      <c r="Q72" s="50"/>
      <c r="R72" s="13">
        <v>3</v>
      </c>
    </row>
    <row r="73" spans="1:18" s="131" customFormat="1" ht="409.5" customHeight="1">
      <c r="A73" s="234"/>
      <c r="B73" s="235" t="s">
        <v>1527</v>
      </c>
      <c r="C73" s="235" t="s">
        <v>1528</v>
      </c>
      <c r="D73" s="235"/>
      <c r="E73" s="234"/>
      <c r="F73" s="234"/>
      <c r="G73" s="265" t="s">
        <v>16</v>
      </c>
      <c r="H73" s="60" t="s">
        <v>96</v>
      </c>
      <c r="I73" s="237" t="s">
        <v>571</v>
      </c>
      <c r="J73" s="234"/>
      <c r="K73" s="242" t="s">
        <v>1905</v>
      </c>
      <c r="L73" s="242" t="s">
        <v>1530</v>
      </c>
      <c r="M73" s="242" t="s">
        <v>1530</v>
      </c>
      <c r="N73" s="255"/>
      <c r="Q73" s="282"/>
      <c r="R73" s="23" t="s">
        <v>2108</v>
      </c>
    </row>
    <row r="74" spans="1:18" ht="229.5" customHeight="1">
      <c r="A74" s="13"/>
      <c r="B74" s="11" t="s">
        <v>1165</v>
      </c>
      <c r="C74" s="10" t="s">
        <v>173</v>
      </c>
      <c r="D74" s="85" t="s">
        <v>1086</v>
      </c>
      <c r="E74" s="13"/>
      <c r="F74" s="13">
        <v>1</v>
      </c>
      <c r="G74" s="12" t="s">
        <v>16</v>
      </c>
      <c r="H74" s="34" t="s">
        <v>96</v>
      </c>
      <c r="I74" s="9" t="s">
        <v>51</v>
      </c>
      <c r="J74" s="28"/>
      <c r="K74" s="76" t="s">
        <v>1770</v>
      </c>
      <c r="L74" s="77" t="s">
        <v>1771</v>
      </c>
      <c r="M74" s="77"/>
      <c r="N74" s="2">
        <v>13569</v>
      </c>
      <c r="R74" s="3" t="s">
        <v>3181</v>
      </c>
    </row>
    <row r="75" spans="1:18" ht="229.5" customHeight="1">
      <c r="A75" s="13"/>
      <c r="B75" s="11" t="s">
        <v>1166</v>
      </c>
      <c r="C75" s="10" t="s">
        <v>992</v>
      </c>
      <c r="D75" s="31" t="s">
        <v>1087</v>
      </c>
      <c r="E75" s="13"/>
      <c r="F75" s="13">
        <v>1</v>
      </c>
      <c r="G75" s="12" t="s">
        <v>16</v>
      </c>
      <c r="H75" s="34" t="s">
        <v>96</v>
      </c>
      <c r="I75" s="9" t="s">
        <v>51</v>
      </c>
      <c r="J75" s="28"/>
      <c r="K75" s="76"/>
      <c r="M75" s="45" t="s">
        <v>1029</v>
      </c>
      <c r="N75" s="2">
        <v>8853</v>
      </c>
      <c r="R75" s="3">
        <v>3</v>
      </c>
    </row>
    <row r="76" spans="1:18" ht="270.75" customHeight="1">
      <c r="A76" s="13"/>
      <c r="B76" s="62" t="s">
        <v>1418</v>
      </c>
      <c r="C76" s="62" t="s">
        <v>1479</v>
      </c>
      <c r="D76" s="31" t="s">
        <v>176</v>
      </c>
      <c r="E76" s="13"/>
      <c r="F76" s="13">
        <v>1</v>
      </c>
      <c r="G76" s="12" t="s">
        <v>16</v>
      </c>
      <c r="H76" s="58" t="s">
        <v>81</v>
      </c>
      <c r="I76" s="13" t="s">
        <v>19</v>
      </c>
      <c r="J76" s="28" t="s">
        <v>177</v>
      </c>
      <c r="K76" s="18" t="s">
        <v>1419</v>
      </c>
      <c r="L76" s="20"/>
      <c r="M76" s="20" t="s">
        <v>1375</v>
      </c>
      <c r="N76" s="3">
        <v>32714</v>
      </c>
      <c r="O76" s="3" t="s">
        <v>47</v>
      </c>
      <c r="R76" s="162" t="s">
        <v>2719</v>
      </c>
    </row>
    <row r="77" spans="1:18" ht="322.5" customHeight="1">
      <c r="A77" s="13"/>
      <c r="B77" s="62" t="s">
        <v>3282</v>
      </c>
      <c r="C77" s="107" t="s">
        <v>3283</v>
      </c>
      <c r="D77" s="362" t="s">
        <v>3284</v>
      </c>
      <c r="E77" s="13"/>
      <c r="F77" s="13">
        <v>1</v>
      </c>
      <c r="G77" s="12" t="s">
        <v>16</v>
      </c>
      <c r="H77" s="58" t="s">
        <v>81</v>
      </c>
      <c r="I77" s="13" t="s">
        <v>19</v>
      </c>
      <c r="J77" s="71">
        <v>6503653601</v>
      </c>
      <c r="K77" s="361" t="s">
        <v>3285</v>
      </c>
      <c r="L77" s="361"/>
      <c r="M77" s="361" t="s">
        <v>3286</v>
      </c>
      <c r="N77" s="39" t="s">
        <v>3287</v>
      </c>
      <c r="O77" s="3" t="s">
        <v>47</v>
      </c>
      <c r="R77" s="13">
        <v>4</v>
      </c>
    </row>
    <row r="78" spans="1:18" ht="322.5" customHeight="1">
      <c r="A78" s="13"/>
      <c r="B78" s="62" t="s">
        <v>2014</v>
      </c>
      <c r="C78" s="62" t="s">
        <v>2015</v>
      </c>
      <c r="D78" s="151" t="s">
        <v>2016</v>
      </c>
      <c r="E78" s="13"/>
      <c r="F78" s="13"/>
      <c r="G78" s="12"/>
      <c r="H78" s="58"/>
      <c r="I78" s="9" t="s">
        <v>2017</v>
      </c>
      <c r="J78" s="71"/>
      <c r="K78" s="18" t="s">
        <v>2018</v>
      </c>
      <c r="L78" s="25" t="s">
        <v>2019</v>
      </c>
      <c r="M78" s="25" t="s">
        <v>2019</v>
      </c>
      <c r="R78" s="3" t="s">
        <v>2566</v>
      </c>
    </row>
    <row r="79" spans="1:18" ht="93.75">
      <c r="A79" s="13"/>
      <c r="B79" s="62" t="s">
        <v>1167</v>
      </c>
      <c r="C79" s="62" t="s">
        <v>988</v>
      </c>
      <c r="D79" s="31" t="s">
        <v>989</v>
      </c>
      <c r="E79" s="13"/>
      <c r="F79" s="13">
        <v>1</v>
      </c>
      <c r="G79" s="12" t="s">
        <v>16</v>
      </c>
      <c r="H79" s="58" t="s">
        <v>81</v>
      </c>
      <c r="I79" s="13" t="s">
        <v>19</v>
      </c>
      <c r="J79" s="71"/>
      <c r="K79" s="18"/>
      <c r="L79" s="25" t="s">
        <v>92</v>
      </c>
      <c r="M79" s="25"/>
      <c r="N79" s="2">
        <v>9676</v>
      </c>
      <c r="O79" s="3" t="s">
        <v>990</v>
      </c>
      <c r="R79" s="3" t="s">
        <v>1427</v>
      </c>
    </row>
    <row r="80" spans="1:18" ht="409.5">
      <c r="A80" s="13"/>
      <c r="B80" s="62" t="s">
        <v>2080</v>
      </c>
      <c r="C80" s="62" t="s">
        <v>2081</v>
      </c>
      <c r="D80" s="31" t="s">
        <v>2082</v>
      </c>
      <c r="E80" s="13"/>
      <c r="F80" s="13"/>
      <c r="G80" s="12"/>
      <c r="H80" s="58"/>
      <c r="I80" s="13" t="s">
        <v>55</v>
      </c>
      <c r="J80" s="71"/>
      <c r="K80" s="18"/>
      <c r="L80" s="25" t="s">
        <v>1375</v>
      </c>
      <c r="M80" s="25"/>
      <c r="R80" s="3" t="s">
        <v>2659</v>
      </c>
    </row>
    <row r="81" spans="1:18" ht="288" customHeight="1">
      <c r="A81" s="13"/>
      <c r="B81" s="62" t="s">
        <v>1168</v>
      </c>
      <c r="C81" s="62" t="s">
        <v>2655</v>
      </c>
      <c r="D81" s="31" t="s">
        <v>3250</v>
      </c>
      <c r="E81" s="13"/>
      <c r="F81" s="13">
        <v>1</v>
      </c>
      <c r="G81" s="12" t="s">
        <v>16</v>
      </c>
      <c r="H81" s="58" t="s">
        <v>81</v>
      </c>
      <c r="I81" s="13" t="s">
        <v>55</v>
      </c>
      <c r="J81" s="71" t="s">
        <v>178</v>
      </c>
      <c r="K81" s="18" t="s">
        <v>2654</v>
      </c>
      <c r="L81" s="25" t="s">
        <v>1074</v>
      </c>
      <c r="M81" s="25"/>
      <c r="N81" s="2">
        <v>4860</v>
      </c>
    </row>
    <row r="82" spans="1:18" ht="409.5">
      <c r="A82" s="13"/>
      <c r="B82" s="11" t="s">
        <v>1169</v>
      </c>
      <c r="C82" s="11" t="s">
        <v>2476</v>
      </c>
      <c r="D82" s="32" t="s">
        <v>2475</v>
      </c>
      <c r="E82" s="13"/>
      <c r="F82" s="13">
        <v>1</v>
      </c>
      <c r="G82" s="12"/>
      <c r="H82" s="58"/>
      <c r="I82" s="24" t="s">
        <v>1890</v>
      </c>
      <c r="J82" s="28"/>
      <c r="K82" s="18" t="s">
        <v>2477</v>
      </c>
      <c r="L82" s="25" t="s">
        <v>1887</v>
      </c>
      <c r="M82" s="25" t="s">
        <v>1887</v>
      </c>
      <c r="N82" s="2">
        <v>32714</v>
      </c>
      <c r="R82" s="3" t="s">
        <v>3265</v>
      </c>
    </row>
    <row r="83" spans="1:18" ht="409.5">
      <c r="A83" s="13"/>
      <c r="B83" s="11" t="s">
        <v>1170</v>
      </c>
      <c r="C83" s="11" t="s">
        <v>181</v>
      </c>
      <c r="D83" s="32" t="s">
        <v>182</v>
      </c>
      <c r="E83" s="13"/>
      <c r="F83" s="13">
        <v>1</v>
      </c>
      <c r="G83" s="12" t="s">
        <v>16</v>
      </c>
      <c r="H83" s="58" t="s">
        <v>81</v>
      </c>
      <c r="I83" s="24" t="s">
        <v>1470</v>
      </c>
      <c r="J83" s="28" t="s">
        <v>183</v>
      </c>
      <c r="K83" s="14" t="s">
        <v>184</v>
      </c>
      <c r="L83" s="19" t="s">
        <v>185</v>
      </c>
      <c r="M83" s="20"/>
      <c r="N83" s="2">
        <v>32714</v>
      </c>
      <c r="O83" s="3" t="s">
        <v>977</v>
      </c>
    </row>
    <row r="84" spans="1:18" ht="349.5" customHeight="1">
      <c r="A84" s="13"/>
      <c r="B84" s="40" t="s">
        <v>1119</v>
      </c>
      <c r="C84" s="40" t="s">
        <v>914</v>
      </c>
      <c r="D84" s="32" t="s">
        <v>186</v>
      </c>
      <c r="E84" s="13"/>
      <c r="F84" s="13">
        <v>1</v>
      </c>
      <c r="G84" s="37" t="s">
        <v>187</v>
      </c>
      <c r="H84" s="58" t="s">
        <v>188</v>
      </c>
      <c r="I84" s="9" t="s">
        <v>51</v>
      </c>
      <c r="J84" s="71">
        <v>6503639904</v>
      </c>
      <c r="K84" s="18" t="s">
        <v>2111</v>
      </c>
      <c r="L84" s="19" t="s">
        <v>2113</v>
      </c>
      <c r="M84" s="20"/>
      <c r="N84" s="2">
        <v>32714</v>
      </c>
      <c r="R84" s="3" t="s">
        <v>3264</v>
      </c>
    </row>
    <row r="85" spans="1:18" ht="409.5">
      <c r="A85" s="13"/>
      <c r="B85" s="11" t="s">
        <v>3006</v>
      </c>
      <c r="C85" s="10" t="s">
        <v>3007</v>
      </c>
      <c r="D85" s="32" t="s">
        <v>2538</v>
      </c>
      <c r="E85" s="12">
        <v>4</v>
      </c>
      <c r="F85" s="12">
        <v>3</v>
      </c>
      <c r="G85" s="37" t="s">
        <v>192</v>
      </c>
      <c r="H85" s="58" t="s">
        <v>18</v>
      </c>
      <c r="I85" s="24" t="s">
        <v>2539</v>
      </c>
      <c r="J85" s="64" t="s">
        <v>193</v>
      </c>
      <c r="K85" s="18" t="s">
        <v>3001</v>
      </c>
      <c r="L85" s="35"/>
      <c r="M85" s="35" t="s">
        <v>2996</v>
      </c>
      <c r="N85" s="2">
        <v>7277</v>
      </c>
      <c r="P85" s="3">
        <v>32785</v>
      </c>
    </row>
    <row r="86" spans="1:18" ht="183.75" customHeight="1">
      <c r="A86" s="13"/>
      <c r="B86" s="11" t="s">
        <v>1171</v>
      </c>
      <c r="C86" s="11" t="s">
        <v>2906</v>
      </c>
      <c r="D86" s="11" t="s">
        <v>2907</v>
      </c>
      <c r="E86" s="9">
        <v>4</v>
      </c>
      <c r="F86" s="12">
        <v>1</v>
      </c>
      <c r="G86" s="9" t="s">
        <v>16</v>
      </c>
      <c r="H86" s="9" t="s">
        <v>81</v>
      </c>
      <c r="I86" s="24" t="s">
        <v>1480</v>
      </c>
      <c r="J86" s="58" t="s">
        <v>194</v>
      </c>
      <c r="K86" s="18" t="s">
        <v>1634</v>
      </c>
      <c r="L86" s="20" t="s">
        <v>2897</v>
      </c>
      <c r="M86" s="20" t="s">
        <v>2897</v>
      </c>
      <c r="N86" s="2">
        <v>32714</v>
      </c>
    </row>
    <row r="87" spans="1:18" ht="162" customHeight="1">
      <c r="A87" s="13"/>
      <c r="B87" s="11" t="s">
        <v>1172</v>
      </c>
      <c r="C87" s="10" t="s">
        <v>1173</v>
      </c>
      <c r="D87" s="11" t="s">
        <v>195</v>
      </c>
      <c r="E87" s="13"/>
      <c r="F87" s="13">
        <v>1</v>
      </c>
      <c r="G87" s="12" t="s">
        <v>16</v>
      </c>
      <c r="H87" s="58" t="s">
        <v>18</v>
      </c>
      <c r="I87" s="24" t="s">
        <v>1469</v>
      </c>
      <c r="J87" s="13" t="s">
        <v>196</v>
      </c>
      <c r="K87" s="14">
        <v>44266</v>
      </c>
      <c r="L87" s="25" t="s">
        <v>69</v>
      </c>
      <c r="N87" s="2">
        <v>32192</v>
      </c>
      <c r="R87" s="3" t="s">
        <v>1652</v>
      </c>
    </row>
    <row r="88" spans="1:18" ht="375">
      <c r="A88" s="13"/>
      <c r="B88" s="11" t="s">
        <v>197</v>
      </c>
      <c r="C88" s="10" t="s">
        <v>1481</v>
      </c>
      <c r="D88" s="32" t="s">
        <v>198</v>
      </c>
      <c r="E88" s="13"/>
      <c r="F88" s="13">
        <v>1</v>
      </c>
      <c r="G88" s="12" t="s">
        <v>16</v>
      </c>
      <c r="H88" s="58" t="s">
        <v>18</v>
      </c>
      <c r="I88" s="10" t="s">
        <v>19</v>
      </c>
      <c r="J88" s="13" t="s">
        <v>199</v>
      </c>
      <c r="K88" s="14">
        <v>43775</v>
      </c>
      <c r="L88" s="19" t="s">
        <v>140</v>
      </c>
      <c r="M88" s="20"/>
      <c r="N88" s="2">
        <v>4860</v>
      </c>
    </row>
    <row r="89" spans="1:18" ht="162" customHeight="1">
      <c r="A89" s="13"/>
      <c r="B89" s="11" t="s">
        <v>1174</v>
      </c>
      <c r="C89" s="10" t="s">
        <v>2792</v>
      </c>
      <c r="D89" s="11" t="s">
        <v>2793</v>
      </c>
      <c r="E89" s="13"/>
      <c r="F89" s="13">
        <v>1</v>
      </c>
      <c r="G89" s="12" t="s">
        <v>16</v>
      </c>
      <c r="H89" s="58" t="s">
        <v>18</v>
      </c>
      <c r="I89" s="24" t="s">
        <v>1469</v>
      </c>
      <c r="J89" s="13" t="s">
        <v>200</v>
      </c>
      <c r="K89" s="18" t="s">
        <v>2053</v>
      </c>
      <c r="L89" s="35" t="s">
        <v>2054</v>
      </c>
      <c r="N89" s="2">
        <v>32714</v>
      </c>
      <c r="R89" s="3" t="s">
        <v>3242</v>
      </c>
    </row>
    <row r="90" spans="1:18" ht="225" customHeight="1">
      <c r="A90" s="13">
        <v>42</v>
      </c>
      <c r="B90" s="11" t="s">
        <v>1175</v>
      </c>
      <c r="C90" s="11" t="s">
        <v>2507</v>
      </c>
      <c r="D90" s="11" t="s">
        <v>1124</v>
      </c>
      <c r="E90" s="12"/>
      <c r="F90" s="12"/>
      <c r="G90" s="12" t="s">
        <v>16</v>
      </c>
      <c r="H90" s="34" t="s">
        <v>201</v>
      </c>
      <c r="I90" s="38" t="s">
        <v>571</v>
      </c>
      <c r="J90" s="30" t="s">
        <v>202</v>
      </c>
      <c r="K90" s="76" t="s">
        <v>2036</v>
      </c>
      <c r="L90" s="226"/>
      <c r="M90" s="226" t="s">
        <v>1701</v>
      </c>
      <c r="N90" s="2" t="s">
        <v>203</v>
      </c>
      <c r="R90" s="3" t="s">
        <v>3051</v>
      </c>
    </row>
    <row r="91" spans="1:18" ht="225" customHeight="1">
      <c r="A91" s="13"/>
      <c r="B91" s="11" t="s">
        <v>1175</v>
      </c>
      <c r="C91" s="11" t="s">
        <v>2507</v>
      </c>
      <c r="D91" s="11" t="s">
        <v>2039</v>
      </c>
      <c r="E91" s="12"/>
      <c r="F91" s="12"/>
      <c r="G91" s="12" t="s">
        <v>16</v>
      </c>
      <c r="H91" s="34" t="s">
        <v>201</v>
      </c>
      <c r="I91" s="38" t="s">
        <v>571</v>
      </c>
      <c r="J91" s="30" t="s">
        <v>202</v>
      </c>
      <c r="K91" s="76" t="s">
        <v>2036</v>
      </c>
      <c r="L91" s="226"/>
      <c r="M91" s="226" t="s">
        <v>1701</v>
      </c>
      <c r="N91" s="2" t="s">
        <v>119</v>
      </c>
      <c r="R91" s="3" t="s">
        <v>3051</v>
      </c>
    </row>
    <row r="92" spans="1:18" ht="300">
      <c r="A92" s="13">
        <v>45</v>
      </c>
      <c r="B92" s="11" t="s">
        <v>1176</v>
      </c>
      <c r="C92" s="11" t="s">
        <v>2522</v>
      </c>
      <c r="D92" s="32" t="s">
        <v>2523</v>
      </c>
      <c r="E92" s="12">
        <v>4</v>
      </c>
      <c r="F92" s="12">
        <v>2</v>
      </c>
      <c r="G92" s="12" t="s">
        <v>16</v>
      </c>
      <c r="H92" s="33" t="s">
        <v>43</v>
      </c>
      <c r="I92" s="9" t="s">
        <v>51</v>
      </c>
      <c r="J92" s="64">
        <v>6503626424</v>
      </c>
      <c r="K92" s="18" t="s">
        <v>2518</v>
      </c>
      <c r="L92" s="20" t="s">
        <v>1074</v>
      </c>
      <c r="M92" s="20" t="s">
        <v>1074</v>
      </c>
      <c r="N92" s="2">
        <v>32714</v>
      </c>
      <c r="O92" s="3">
        <v>9676</v>
      </c>
    </row>
    <row r="93" spans="1:18" s="131" customFormat="1" ht="131.25" customHeight="1">
      <c r="A93" s="234"/>
      <c r="B93" s="276" t="s">
        <v>908</v>
      </c>
      <c r="C93" s="276" t="s">
        <v>909</v>
      </c>
      <c r="D93" s="278" t="s">
        <v>910</v>
      </c>
      <c r="E93" s="279"/>
      <c r="F93" s="244"/>
      <c r="G93" s="244" t="s">
        <v>16</v>
      </c>
      <c r="H93" s="280" t="s">
        <v>911</v>
      </c>
      <c r="I93" s="237" t="s">
        <v>55</v>
      </c>
      <c r="J93" s="281"/>
      <c r="K93" s="242" t="s">
        <v>912</v>
      </c>
      <c r="L93" s="23" t="s">
        <v>913</v>
      </c>
      <c r="M93" s="23"/>
      <c r="N93" s="255"/>
      <c r="R93" s="131" t="s">
        <v>2108</v>
      </c>
    </row>
    <row r="94" spans="1:18" ht="192.75" customHeight="1">
      <c r="A94" s="13">
        <v>46</v>
      </c>
      <c r="B94" s="11" t="s">
        <v>3024</v>
      </c>
      <c r="C94" s="11" t="s">
        <v>3025</v>
      </c>
      <c r="D94" s="32" t="s">
        <v>3194</v>
      </c>
      <c r="E94" s="12"/>
      <c r="F94" s="12"/>
      <c r="G94" s="12" t="s">
        <v>16</v>
      </c>
      <c r="H94" s="34" t="s">
        <v>205</v>
      </c>
      <c r="I94" s="74" t="s">
        <v>206</v>
      </c>
      <c r="J94" s="26" t="s">
        <v>207</v>
      </c>
      <c r="K94" s="18" t="s">
        <v>3016</v>
      </c>
      <c r="L94" s="25" t="s">
        <v>3002</v>
      </c>
      <c r="M94" s="25" t="s">
        <v>3002</v>
      </c>
      <c r="N94" s="2" t="s">
        <v>2759</v>
      </c>
    </row>
    <row r="95" spans="1:18" ht="192.75" customHeight="1">
      <c r="A95" s="13"/>
      <c r="B95" s="11" t="s">
        <v>3024</v>
      </c>
      <c r="C95" s="11" t="s">
        <v>3025</v>
      </c>
      <c r="D95" s="32" t="s">
        <v>3195</v>
      </c>
      <c r="E95" s="12"/>
      <c r="F95" s="12"/>
      <c r="G95" s="12"/>
      <c r="H95" s="34"/>
      <c r="I95" s="74"/>
      <c r="J95" s="26"/>
      <c r="K95" s="18" t="s">
        <v>3196</v>
      </c>
      <c r="L95" s="25"/>
      <c r="M95" s="25"/>
    </row>
    <row r="96" spans="1:18" ht="350.25" customHeight="1">
      <c r="A96" s="13">
        <v>47</v>
      </c>
      <c r="B96" s="11" t="s">
        <v>1177</v>
      </c>
      <c r="C96" s="11" t="s">
        <v>2846</v>
      </c>
      <c r="D96" s="11" t="s">
        <v>2847</v>
      </c>
      <c r="E96" s="12">
        <v>4</v>
      </c>
      <c r="F96" s="12">
        <v>2</v>
      </c>
      <c r="G96" s="12" t="s">
        <v>16</v>
      </c>
      <c r="H96" s="9" t="s">
        <v>78</v>
      </c>
      <c r="I96" s="9" t="s">
        <v>51</v>
      </c>
      <c r="J96" s="49" t="s">
        <v>208</v>
      </c>
      <c r="K96" s="18" t="s">
        <v>2258</v>
      </c>
      <c r="L96" s="349" t="s">
        <v>2845</v>
      </c>
      <c r="M96" s="349" t="s">
        <v>2845</v>
      </c>
      <c r="N96" s="2" t="s">
        <v>3478</v>
      </c>
      <c r="O96" s="2">
        <v>32714</v>
      </c>
      <c r="R96" s="12">
        <v>4</v>
      </c>
    </row>
    <row r="97" spans="1:31" ht="204.75" customHeight="1">
      <c r="A97" s="13"/>
      <c r="B97" s="11" t="s">
        <v>1178</v>
      </c>
      <c r="C97" s="11" t="s">
        <v>209</v>
      </c>
      <c r="D97" s="11" t="s">
        <v>210</v>
      </c>
      <c r="E97" s="12"/>
      <c r="F97" s="12">
        <v>2</v>
      </c>
      <c r="G97" s="37" t="s">
        <v>211</v>
      </c>
      <c r="H97" s="34" t="s">
        <v>96</v>
      </c>
      <c r="I97" s="75" t="s">
        <v>1581</v>
      </c>
      <c r="J97" s="30" t="s">
        <v>213</v>
      </c>
      <c r="K97" s="18" t="s">
        <v>1578</v>
      </c>
      <c r="L97" s="25"/>
      <c r="M97" s="25" t="s">
        <v>1543</v>
      </c>
      <c r="N97" s="2">
        <v>4860</v>
      </c>
      <c r="O97" s="3">
        <v>32714</v>
      </c>
      <c r="R97" s="162" t="s">
        <v>2827</v>
      </c>
    </row>
    <row r="98" spans="1:31" ht="393.75">
      <c r="A98" s="13"/>
      <c r="B98" s="314" t="s">
        <v>1179</v>
      </c>
      <c r="C98" s="314" t="s">
        <v>214</v>
      </c>
      <c r="D98" s="314" t="s">
        <v>1046</v>
      </c>
      <c r="E98" s="315"/>
      <c r="F98" s="315">
        <v>4</v>
      </c>
      <c r="G98" s="315" t="s">
        <v>16</v>
      </c>
      <c r="H98" s="91" t="s">
        <v>43</v>
      </c>
      <c r="I98" s="101" t="s">
        <v>212</v>
      </c>
      <c r="J98" s="316" t="s">
        <v>215</v>
      </c>
      <c r="K98" s="311" t="s">
        <v>1005</v>
      </c>
      <c r="L98" s="317" t="s">
        <v>1045</v>
      </c>
      <c r="M98" s="227"/>
      <c r="N98" s="312">
        <v>4860</v>
      </c>
      <c r="O98" s="72">
        <v>32192</v>
      </c>
      <c r="P98" s="72"/>
      <c r="Q98" s="72">
        <v>8853</v>
      </c>
      <c r="R98" s="313" t="s">
        <v>2342</v>
      </c>
    </row>
    <row r="99" spans="1:31" ht="409.5">
      <c r="A99" s="13"/>
      <c r="B99" s="11" t="s">
        <v>1960</v>
      </c>
      <c r="C99" s="11" t="s">
        <v>1962</v>
      </c>
      <c r="D99" s="11" t="s">
        <v>1961</v>
      </c>
      <c r="E99" s="12"/>
      <c r="F99" s="12">
        <v>4</v>
      </c>
      <c r="G99" s="12" t="s">
        <v>16</v>
      </c>
      <c r="H99" s="34" t="s">
        <v>1623</v>
      </c>
      <c r="I99" s="75" t="s">
        <v>1963</v>
      </c>
      <c r="J99" s="26"/>
      <c r="K99" s="18" t="s">
        <v>1964</v>
      </c>
      <c r="L99" s="84" t="s">
        <v>1965</v>
      </c>
      <c r="M99" s="25"/>
      <c r="Q99" s="3">
        <v>32714</v>
      </c>
      <c r="R99" s="162" t="s">
        <v>2346</v>
      </c>
    </row>
    <row r="100" spans="1:31" s="7" customFormat="1" ht="173.25" customHeight="1">
      <c r="A100" s="13"/>
      <c r="B100" s="40" t="s">
        <v>2976</v>
      </c>
      <c r="C100" s="40" t="s">
        <v>3011</v>
      </c>
      <c r="D100" s="40" t="s">
        <v>2978</v>
      </c>
      <c r="E100" s="12">
        <v>4</v>
      </c>
      <c r="F100" s="12">
        <v>2</v>
      </c>
      <c r="G100" s="12" t="s">
        <v>16</v>
      </c>
      <c r="H100" s="34" t="s">
        <v>96</v>
      </c>
      <c r="I100" s="17" t="s">
        <v>19</v>
      </c>
      <c r="J100" s="43">
        <v>6503363159</v>
      </c>
      <c r="K100" s="122" t="s">
        <v>3001</v>
      </c>
      <c r="L100" s="20"/>
      <c r="M100" s="344" t="s">
        <v>2887</v>
      </c>
      <c r="N100" s="2">
        <v>32192</v>
      </c>
      <c r="O100" s="2">
        <v>32714</v>
      </c>
      <c r="P100" s="3"/>
      <c r="Q100" s="3"/>
      <c r="R100" s="162" t="s">
        <v>3184</v>
      </c>
      <c r="S100" s="3"/>
      <c r="T100" s="3"/>
      <c r="U100" s="3"/>
      <c r="V100" s="3"/>
      <c r="W100" s="3"/>
      <c r="X100" s="3"/>
      <c r="Y100" s="3"/>
      <c r="Z100" s="3"/>
      <c r="AA100" s="3"/>
      <c r="AB100" s="3"/>
      <c r="AC100" s="3"/>
      <c r="AD100" s="3"/>
      <c r="AE100" s="3"/>
    </row>
    <row r="101" spans="1:31" s="7" customFormat="1" ht="409.5">
      <c r="A101" s="13"/>
      <c r="B101" s="11" t="s">
        <v>1180</v>
      </c>
      <c r="C101" s="11" t="s">
        <v>217</v>
      </c>
      <c r="D101" s="11" t="s">
        <v>1978</v>
      </c>
      <c r="E101" s="12"/>
      <c r="F101" s="12">
        <v>2</v>
      </c>
      <c r="G101" s="12" t="s">
        <v>16</v>
      </c>
      <c r="H101" s="34" t="s">
        <v>96</v>
      </c>
      <c r="I101" s="24" t="s">
        <v>19</v>
      </c>
      <c r="J101" s="71" t="s">
        <v>218</v>
      </c>
      <c r="K101" s="18" t="s">
        <v>1905</v>
      </c>
      <c r="L101" s="20" t="s">
        <v>1859</v>
      </c>
      <c r="M101" s="20" t="s">
        <v>1859</v>
      </c>
      <c r="N101" s="2">
        <v>4860</v>
      </c>
      <c r="O101" s="3">
        <v>32714</v>
      </c>
      <c r="P101" s="14"/>
      <c r="Q101" s="19"/>
      <c r="R101" s="3" t="s">
        <v>3178</v>
      </c>
      <c r="S101" s="3"/>
      <c r="T101" s="3"/>
      <c r="U101" s="3"/>
      <c r="V101" s="3"/>
      <c r="W101" s="3"/>
      <c r="X101" s="3"/>
      <c r="Y101" s="3"/>
      <c r="Z101" s="3"/>
      <c r="AA101" s="3"/>
      <c r="AB101" s="3"/>
      <c r="AC101" s="3"/>
      <c r="AD101" s="3"/>
      <c r="AE101" s="3"/>
    </row>
    <row r="102" spans="1:31" ht="356.25">
      <c r="A102" s="13">
        <v>49</v>
      </c>
      <c r="B102" s="11" t="s">
        <v>1181</v>
      </c>
      <c r="C102" s="11" t="s">
        <v>220</v>
      </c>
      <c r="D102" s="32" t="s">
        <v>1047</v>
      </c>
      <c r="E102" s="12"/>
      <c r="F102" s="12">
        <v>2</v>
      </c>
      <c r="G102" s="12" t="s">
        <v>16</v>
      </c>
      <c r="H102" s="34" t="s">
        <v>201</v>
      </c>
      <c r="I102" s="17" t="s">
        <v>19</v>
      </c>
      <c r="J102" s="30" t="s">
        <v>221</v>
      </c>
      <c r="K102" s="18" t="s">
        <v>222</v>
      </c>
      <c r="L102" s="25" t="s">
        <v>46</v>
      </c>
      <c r="M102" s="25"/>
      <c r="N102" s="2">
        <v>32192</v>
      </c>
      <c r="O102" s="3">
        <v>8853</v>
      </c>
    </row>
    <row r="103" spans="1:31" ht="168.75">
      <c r="A103" s="13"/>
      <c r="B103" s="11" t="s">
        <v>1389</v>
      </c>
      <c r="C103" s="11" t="s">
        <v>927</v>
      </c>
      <c r="D103" s="32" t="s">
        <v>928</v>
      </c>
      <c r="E103" s="12"/>
      <c r="F103" s="12">
        <v>2</v>
      </c>
      <c r="G103" s="12" t="s">
        <v>16</v>
      </c>
      <c r="H103" s="34" t="s">
        <v>201</v>
      </c>
      <c r="I103" s="17" t="s">
        <v>19</v>
      </c>
      <c r="J103" s="30" t="s">
        <v>929</v>
      </c>
      <c r="K103" s="18" t="s">
        <v>930</v>
      </c>
      <c r="L103" s="25" t="s">
        <v>88</v>
      </c>
      <c r="M103" s="25"/>
      <c r="N103" s="2">
        <v>32192</v>
      </c>
      <c r="O103" s="3">
        <v>8853</v>
      </c>
      <c r="R103" s="3" t="s">
        <v>1131</v>
      </c>
    </row>
    <row r="104" spans="1:31" ht="142.5" customHeight="1">
      <c r="A104" s="13">
        <v>51</v>
      </c>
      <c r="B104" s="11" t="s">
        <v>3113</v>
      </c>
      <c r="C104" s="11" t="s">
        <v>3114</v>
      </c>
      <c r="D104" s="32" t="s">
        <v>3115</v>
      </c>
      <c r="E104" s="12"/>
      <c r="F104" s="12">
        <v>2</v>
      </c>
      <c r="G104" s="12" t="s">
        <v>16</v>
      </c>
      <c r="H104" s="34" t="s">
        <v>201</v>
      </c>
      <c r="I104" s="17" t="s">
        <v>3116</v>
      </c>
      <c r="J104" s="26" t="s">
        <v>224</v>
      </c>
      <c r="K104" s="18" t="s">
        <v>3099</v>
      </c>
      <c r="L104" s="19"/>
      <c r="M104" s="19" t="s">
        <v>3002</v>
      </c>
      <c r="N104" s="2">
        <v>32192</v>
      </c>
      <c r="O104" s="2">
        <v>32714</v>
      </c>
      <c r="R104" s="12" t="s">
        <v>3183</v>
      </c>
    </row>
    <row r="105" spans="1:31" ht="337.5">
      <c r="A105" s="13"/>
      <c r="B105" s="11" t="s">
        <v>3385</v>
      </c>
      <c r="C105" s="11" t="s">
        <v>3386</v>
      </c>
      <c r="D105" s="32" t="s">
        <v>3387</v>
      </c>
      <c r="E105" s="12"/>
      <c r="F105" s="12"/>
      <c r="G105" s="12" t="s">
        <v>16</v>
      </c>
      <c r="H105" s="34" t="s">
        <v>223</v>
      </c>
      <c r="I105" s="75" t="s">
        <v>55</v>
      </c>
      <c r="J105" s="26">
        <v>6503631075</v>
      </c>
      <c r="K105" s="18" t="s">
        <v>3388</v>
      </c>
      <c r="L105" s="20"/>
      <c r="M105" s="20" t="s">
        <v>3226</v>
      </c>
      <c r="N105" s="39" t="s">
        <v>3281</v>
      </c>
      <c r="O105" s="2"/>
    </row>
    <row r="106" spans="1:31" ht="177" customHeight="1">
      <c r="A106" s="13"/>
      <c r="B106" s="11" t="s">
        <v>1820</v>
      </c>
      <c r="C106" s="11" t="s">
        <v>226</v>
      </c>
      <c r="D106" s="32" t="s">
        <v>2413</v>
      </c>
      <c r="E106" s="12"/>
      <c r="F106" s="12">
        <v>3</v>
      </c>
      <c r="G106" s="12" t="s">
        <v>16</v>
      </c>
      <c r="H106" s="34" t="s">
        <v>223</v>
      </c>
      <c r="I106" s="75" t="s">
        <v>225</v>
      </c>
      <c r="J106" s="64" t="s">
        <v>227</v>
      </c>
      <c r="K106" s="18" t="s">
        <v>1780</v>
      </c>
      <c r="L106" s="25" t="s">
        <v>1731</v>
      </c>
      <c r="M106" s="25"/>
      <c r="N106" s="2">
        <v>4860</v>
      </c>
      <c r="P106" s="3">
        <v>32192</v>
      </c>
      <c r="Q106" s="3">
        <v>8853</v>
      </c>
      <c r="R106" s="12" t="s">
        <v>3158</v>
      </c>
    </row>
    <row r="107" spans="1:31" ht="206.25">
      <c r="A107" s="13"/>
      <c r="B107" s="11" t="s">
        <v>2310</v>
      </c>
      <c r="C107" s="11" t="s">
        <v>2544</v>
      </c>
      <c r="D107" s="11" t="s">
        <v>2545</v>
      </c>
      <c r="E107" s="12"/>
      <c r="F107" s="12">
        <v>2</v>
      </c>
      <c r="G107" s="12" t="s">
        <v>16</v>
      </c>
      <c r="H107" s="34" t="s">
        <v>18</v>
      </c>
      <c r="I107" s="9" t="s">
        <v>19</v>
      </c>
      <c r="J107" s="26"/>
      <c r="K107" s="18" t="s">
        <v>2543</v>
      </c>
      <c r="L107" s="20" t="s">
        <v>2546</v>
      </c>
      <c r="M107" s="20"/>
      <c r="N107" s="2">
        <v>32192</v>
      </c>
      <c r="O107" s="2">
        <v>32714</v>
      </c>
      <c r="R107" s="3" t="s">
        <v>3264</v>
      </c>
    </row>
    <row r="108" spans="1:31" ht="173.25" customHeight="1">
      <c r="A108" s="13">
        <v>53</v>
      </c>
      <c r="B108" s="11" t="s">
        <v>3031</v>
      </c>
      <c r="C108" s="11" t="s">
        <v>3032</v>
      </c>
      <c r="D108" s="189" t="s">
        <v>3033</v>
      </c>
      <c r="E108" s="12">
        <v>4</v>
      </c>
      <c r="F108" s="12">
        <v>2</v>
      </c>
      <c r="G108" s="12" t="s">
        <v>16</v>
      </c>
      <c r="H108" s="34" t="s">
        <v>18</v>
      </c>
      <c r="I108" s="17" t="s">
        <v>19</v>
      </c>
      <c r="J108" s="96" t="s">
        <v>229</v>
      </c>
      <c r="K108" s="18" t="s">
        <v>3030</v>
      </c>
      <c r="L108" s="98" t="s">
        <v>2897</v>
      </c>
      <c r="M108" s="98" t="s">
        <v>2897</v>
      </c>
      <c r="N108" s="3"/>
      <c r="O108" s="3">
        <v>13456</v>
      </c>
      <c r="R108" s="12">
        <v>4</v>
      </c>
    </row>
    <row r="109" spans="1:31" ht="171.75" customHeight="1">
      <c r="A109" s="13">
        <v>54</v>
      </c>
      <c r="B109" s="11" t="s">
        <v>1182</v>
      </c>
      <c r="C109" s="11" t="s">
        <v>232</v>
      </c>
      <c r="D109" s="11" t="s">
        <v>1881</v>
      </c>
      <c r="E109" s="12"/>
      <c r="F109" s="12">
        <v>2</v>
      </c>
      <c r="G109" s="37" t="s">
        <v>233</v>
      </c>
      <c r="H109" s="9" t="s">
        <v>18</v>
      </c>
      <c r="I109" s="17" t="s">
        <v>19</v>
      </c>
      <c r="J109" s="30" t="s">
        <v>234</v>
      </c>
      <c r="K109" s="18" t="s">
        <v>2062</v>
      </c>
      <c r="L109" s="84" t="s">
        <v>1074</v>
      </c>
      <c r="M109" s="84" t="s">
        <v>1074</v>
      </c>
      <c r="N109" s="2">
        <v>32192</v>
      </c>
      <c r="O109" s="2">
        <v>32714</v>
      </c>
      <c r="R109" s="3" t="s">
        <v>3264</v>
      </c>
    </row>
    <row r="110" spans="1:31" ht="252" customHeight="1">
      <c r="A110" s="13">
        <v>55</v>
      </c>
      <c r="B110" s="11" t="s">
        <v>3021</v>
      </c>
      <c r="C110" s="11" t="s">
        <v>3022</v>
      </c>
      <c r="D110" s="11" t="s">
        <v>3023</v>
      </c>
      <c r="E110" s="12">
        <v>4</v>
      </c>
      <c r="F110" s="12">
        <v>2</v>
      </c>
      <c r="G110" s="12" t="s">
        <v>16</v>
      </c>
      <c r="H110" s="99" t="s">
        <v>223</v>
      </c>
      <c r="I110" s="17" t="s">
        <v>19</v>
      </c>
      <c r="J110" s="30" t="s">
        <v>235</v>
      </c>
      <c r="K110" s="18" t="s">
        <v>3016</v>
      </c>
      <c r="L110" s="36"/>
      <c r="M110" s="36" t="s">
        <v>3002</v>
      </c>
      <c r="N110" s="2">
        <v>32192</v>
      </c>
      <c r="O110" s="2">
        <v>32714</v>
      </c>
      <c r="R110" s="12" t="s">
        <v>3143</v>
      </c>
    </row>
    <row r="111" spans="1:31" ht="393.75">
      <c r="A111" s="13">
        <v>56</v>
      </c>
      <c r="B111" s="11" t="s">
        <v>1183</v>
      </c>
      <c r="C111" s="11" t="s">
        <v>236</v>
      </c>
      <c r="D111" s="32" t="s">
        <v>237</v>
      </c>
      <c r="E111" s="12"/>
      <c r="F111" s="12">
        <v>2</v>
      </c>
      <c r="G111" s="12" t="s">
        <v>16</v>
      </c>
      <c r="H111" s="9" t="s">
        <v>238</v>
      </c>
      <c r="I111" s="17" t="s">
        <v>19</v>
      </c>
      <c r="J111" s="26" t="s">
        <v>239</v>
      </c>
      <c r="K111" s="18" t="s">
        <v>91</v>
      </c>
      <c r="L111" s="25" t="s">
        <v>92</v>
      </c>
      <c r="M111" s="25"/>
      <c r="N111" s="2">
        <v>32192</v>
      </c>
      <c r="O111" s="3" t="s">
        <v>940</v>
      </c>
    </row>
    <row r="112" spans="1:31" ht="309.75" customHeight="1">
      <c r="A112" s="13"/>
      <c r="B112" s="11" t="s">
        <v>1184</v>
      </c>
      <c r="C112" s="100" t="s">
        <v>2625</v>
      </c>
      <c r="D112" s="32" t="s">
        <v>2560</v>
      </c>
      <c r="E112" s="12">
        <v>4</v>
      </c>
      <c r="F112" s="12">
        <v>4</v>
      </c>
      <c r="G112" s="12" t="s">
        <v>16</v>
      </c>
      <c r="H112" s="34" t="s">
        <v>96</v>
      </c>
      <c r="I112" s="13" t="s">
        <v>19</v>
      </c>
      <c r="J112" s="71">
        <v>6503800838</v>
      </c>
      <c r="K112" s="18" t="s">
        <v>2617</v>
      </c>
      <c r="L112" s="25" t="s">
        <v>2546</v>
      </c>
      <c r="M112" s="25" t="s">
        <v>2546</v>
      </c>
      <c r="N112" s="2" t="s">
        <v>3480</v>
      </c>
      <c r="P112" s="14"/>
      <c r="Q112" s="3">
        <v>32714</v>
      </c>
      <c r="R112" s="3" t="s">
        <v>3050</v>
      </c>
    </row>
    <row r="113" spans="1:18" ht="229.5" customHeight="1">
      <c r="A113" s="13"/>
      <c r="B113" s="11" t="s">
        <v>2332</v>
      </c>
      <c r="C113" s="11" t="s">
        <v>241</v>
      </c>
      <c r="D113" s="32" t="s">
        <v>1724</v>
      </c>
      <c r="E113" s="12"/>
      <c r="F113" s="12">
        <v>2</v>
      </c>
      <c r="G113" s="37" t="s">
        <v>242</v>
      </c>
      <c r="H113" s="34" t="s">
        <v>124</v>
      </c>
      <c r="I113" s="9" t="s">
        <v>19</v>
      </c>
      <c r="J113" s="26" t="s">
        <v>243</v>
      </c>
      <c r="K113" s="18" t="s">
        <v>1720</v>
      </c>
      <c r="L113" s="25" t="s">
        <v>1676</v>
      </c>
      <c r="M113" s="25"/>
      <c r="N113" s="2">
        <v>32192</v>
      </c>
      <c r="O113" s="3">
        <v>9676</v>
      </c>
      <c r="Q113" s="3">
        <f>9000-2310</f>
        <v>6690</v>
      </c>
      <c r="R113" s="12" t="s">
        <v>3143</v>
      </c>
    </row>
    <row r="114" spans="1:18" ht="348" customHeight="1">
      <c r="A114" s="13"/>
      <c r="B114" s="11" t="s">
        <v>2943</v>
      </c>
      <c r="C114" s="11" t="s">
        <v>2944</v>
      </c>
      <c r="D114" s="32" t="s">
        <v>2945</v>
      </c>
      <c r="E114" s="12"/>
      <c r="F114" s="12">
        <v>2</v>
      </c>
      <c r="G114" s="12" t="s">
        <v>16</v>
      </c>
      <c r="H114" s="34" t="s">
        <v>78</v>
      </c>
      <c r="I114" s="17" t="s">
        <v>19</v>
      </c>
      <c r="J114" s="26" t="s">
        <v>244</v>
      </c>
      <c r="K114" s="18" t="s">
        <v>2934</v>
      </c>
      <c r="L114" s="25" t="s">
        <v>2319</v>
      </c>
      <c r="M114" s="25" t="s">
        <v>2319</v>
      </c>
      <c r="N114" s="2">
        <v>32192</v>
      </c>
      <c r="O114" s="3">
        <v>9676</v>
      </c>
      <c r="R114" s="12" t="s">
        <v>3205</v>
      </c>
    </row>
    <row r="115" spans="1:18" ht="70.5" customHeight="1">
      <c r="A115" s="13"/>
      <c r="B115" s="11" t="s">
        <v>245</v>
      </c>
      <c r="C115" s="11" t="s">
        <v>246</v>
      </c>
      <c r="D115" s="32" t="s">
        <v>247</v>
      </c>
      <c r="E115" s="12"/>
      <c r="F115" s="12">
        <v>4</v>
      </c>
      <c r="G115" s="12" t="s">
        <v>16</v>
      </c>
      <c r="H115" s="34" t="s">
        <v>96</v>
      </c>
      <c r="I115" s="17" t="s">
        <v>19</v>
      </c>
      <c r="J115" s="30" t="s">
        <v>248</v>
      </c>
      <c r="K115" s="18" t="s">
        <v>249</v>
      </c>
      <c r="L115" s="25" t="s">
        <v>250</v>
      </c>
      <c r="M115" s="25"/>
      <c r="N115" s="2">
        <v>7271</v>
      </c>
      <c r="O115" s="3">
        <v>3</v>
      </c>
    </row>
    <row r="116" spans="1:18" ht="206.25">
      <c r="A116" s="13">
        <v>58</v>
      </c>
      <c r="B116" s="11" t="s">
        <v>1185</v>
      </c>
      <c r="C116" s="11" t="s">
        <v>251</v>
      </c>
      <c r="D116" s="32" t="s">
        <v>1628</v>
      </c>
      <c r="E116" s="12"/>
      <c r="F116" s="12">
        <v>2</v>
      </c>
      <c r="G116" s="12" t="s">
        <v>16</v>
      </c>
      <c r="H116" s="34" t="s">
        <v>252</v>
      </c>
      <c r="I116" s="17" t="s">
        <v>19</v>
      </c>
      <c r="J116" s="30" t="s">
        <v>253</v>
      </c>
      <c r="K116" s="18" t="s">
        <v>2064</v>
      </c>
      <c r="L116" s="45" t="s">
        <v>2000</v>
      </c>
      <c r="M116" s="84"/>
      <c r="N116" s="2">
        <v>32714</v>
      </c>
      <c r="O116" s="3">
        <v>9676</v>
      </c>
      <c r="Q116" s="3">
        <f>5029-2870</f>
        <v>2159</v>
      </c>
      <c r="R116" s="3" t="s">
        <v>3264</v>
      </c>
    </row>
    <row r="117" spans="1:18" ht="278.25" customHeight="1">
      <c r="A117" s="13">
        <v>60</v>
      </c>
      <c r="B117" s="11" t="s">
        <v>3357</v>
      </c>
      <c r="C117" s="11" t="s">
        <v>3358</v>
      </c>
      <c r="D117" s="32" t="s">
        <v>3380</v>
      </c>
      <c r="E117" s="12"/>
      <c r="F117" s="12"/>
      <c r="G117" s="12" t="s">
        <v>16</v>
      </c>
      <c r="H117" s="34" t="s">
        <v>255</v>
      </c>
      <c r="I117" s="74" t="s">
        <v>55</v>
      </c>
      <c r="J117" s="49" t="s">
        <v>256</v>
      </c>
      <c r="K117" s="18" t="s">
        <v>3373</v>
      </c>
      <c r="L117" s="84" t="s">
        <v>3226</v>
      </c>
      <c r="M117" s="84" t="s">
        <v>3226</v>
      </c>
      <c r="N117" s="2" t="s">
        <v>2622</v>
      </c>
    </row>
    <row r="118" spans="1:18" ht="187.5">
      <c r="A118" s="13">
        <v>62</v>
      </c>
      <c r="B118" s="11" t="s">
        <v>3220</v>
      </c>
      <c r="C118" s="11" t="s">
        <v>3411</v>
      </c>
      <c r="D118" s="32" t="s">
        <v>3221</v>
      </c>
      <c r="E118" s="12">
        <v>4</v>
      </c>
      <c r="F118" s="12">
        <v>2</v>
      </c>
      <c r="G118" s="37" t="s">
        <v>257</v>
      </c>
      <c r="H118" s="34" t="s">
        <v>18</v>
      </c>
      <c r="I118" s="17" t="s">
        <v>3008</v>
      </c>
      <c r="J118" s="26" t="s">
        <v>258</v>
      </c>
      <c r="K118" s="18" t="s">
        <v>3222</v>
      </c>
      <c r="L118" s="25" t="s">
        <v>2996</v>
      </c>
      <c r="M118" s="25" t="s">
        <v>2996</v>
      </c>
      <c r="N118" s="2">
        <v>32714</v>
      </c>
      <c r="O118" s="3">
        <v>9676</v>
      </c>
      <c r="R118" s="12">
        <v>4</v>
      </c>
    </row>
    <row r="119" spans="1:18" ht="198" customHeight="1">
      <c r="A119" s="13">
        <v>64</v>
      </c>
      <c r="B119" s="11" t="s">
        <v>1186</v>
      </c>
      <c r="C119" s="11" t="s">
        <v>259</v>
      </c>
      <c r="D119" s="11" t="s">
        <v>260</v>
      </c>
      <c r="E119" s="12"/>
      <c r="F119" s="12">
        <v>2</v>
      </c>
      <c r="G119" s="37" t="s">
        <v>121</v>
      </c>
      <c r="H119" s="61" t="s">
        <v>261</v>
      </c>
      <c r="I119" s="17" t="s">
        <v>19</v>
      </c>
      <c r="J119" s="64">
        <v>6503612491</v>
      </c>
      <c r="K119" s="18" t="s">
        <v>91</v>
      </c>
      <c r="L119" s="25" t="s">
        <v>92</v>
      </c>
      <c r="M119" s="25"/>
      <c r="N119" s="2">
        <v>7277</v>
      </c>
      <c r="O119" s="3">
        <v>4</v>
      </c>
    </row>
    <row r="120" spans="1:18" ht="200.25" customHeight="1">
      <c r="A120" s="13">
        <v>65</v>
      </c>
      <c r="B120" s="11" t="s">
        <v>1187</v>
      </c>
      <c r="C120" s="11" t="s">
        <v>60</v>
      </c>
      <c r="D120" s="11" t="s">
        <v>1048</v>
      </c>
      <c r="E120" s="12"/>
      <c r="F120" s="12">
        <v>2</v>
      </c>
      <c r="G120" s="12" t="s">
        <v>16</v>
      </c>
      <c r="H120" s="34" t="s">
        <v>81</v>
      </c>
      <c r="I120" s="17" t="s">
        <v>19</v>
      </c>
      <c r="J120" s="26" t="s">
        <v>262</v>
      </c>
      <c r="K120" s="18" t="s">
        <v>1780</v>
      </c>
      <c r="L120" s="25" t="s">
        <v>1771</v>
      </c>
      <c r="M120" s="25"/>
      <c r="N120" s="39">
        <v>32192</v>
      </c>
      <c r="O120" s="2">
        <v>32714</v>
      </c>
      <c r="R120" s="3" t="s">
        <v>3173</v>
      </c>
    </row>
    <row r="121" spans="1:18" ht="238.5" customHeight="1">
      <c r="A121" s="13">
        <v>66</v>
      </c>
      <c r="B121" s="11" t="s">
        <v>3238</v>
      </c>
      <c r="C121" s="11" t="s">
        <v>3239</v>
      </c>
      <c r="D121" s="11" t="s">
        <v>3240</v>
      </c>
      <c r="E121" s="12">
        <v>4</v>
      </c>
      <c r="F121" s="12">
        <v>2</v>
      </c>
      <c r="G121" s="12" t="s">
        <v>16</v>
      </c>
      <c r="H121" s="34" t="s">
        <v>43</v>
      </c>
      <c r="I121" s="74" t="s">
        <v>206</v>
      </c>
      <c r="J121" s="26" t="s">
        <v>263</v>
      </c>
      <c r="K121" s="18" t="s">
        <v>3232</v>
      </c>
      <c r="L121" s="361" t="s">
        <v>1730</v>
      </c>
      <c r="M121" s="361" t="s">
        <v>1730</v>
      </c>
      <c r="N121" s="39" t="s">
        <v>3389</v>
      </c>
      <c r="O121" s="3">
        <v>9676</v>
      </c>
    </row>
    <row r="122" spans="1:18" ht="223.5" customHeight="1">
      <c r="A122" s="13">
        <v>67</v>
      </c>
      <c r="B122" s="11" t="s">
        <v>1188</v>
      </c>
      <c r="C122" s="11" t="s">
        <v>2718</v>
      </c>
      <c r="D122" s="32" t="s">
        <v>2517</v>
      </c>
      <c r="E122" s="12">
        <v>4</v>
      </c>
      <c r="F122" s="12">
        <v>2</v>
      </c>
      <c r="G122" s="12" t="s">
        <v>16</v>
      </c>
      <c r="H122" s="34" t="s">
        <v>43</v>
      </c>
      <c r="I122" s="9" t="s">
        <v>19</v>
      </c>
      <c r="J122" s="26">
        <v>6503625.551</v>
      </c>
      <c r="K122" s="18" t="s">
        <v>2518</v>
      </c>
      <c r="L122" s="20" t="s">
        <v>1074</v>
      </c>
      <c r="M122" s="20"/>
      <c r="N122" s="2">
        <v>32192</v>
      </c>
      <c r="O122" s="3">
        <v>9676</v>
      </c>
    </row>
    <row r="123" spans="1:18" ht="160.5" customHeight="1">
      <c r="A123" s="13"/>
      <c r="B123" s="11" t="s">
        <v>1189</v>
      </c>
      <c r="C123" s="11" t="s">
        <v>264</v>
      </c>
      <c r="D123" s="32" t="s">
        <v>1049</v>
      </c>
      <c r="E123" s="12"/>
      <c r="F123" s="12"/>
      <c r="G123" s="71" t="s">
        <v>126</v>
      </c>
      <c r="H123" s="34" t="s">
        <v>43</v>
      </c>
      <c r="I123" s="9" t="s">
        <v>19</v>
      </c>
      <c r="J123" s="26" t="s">
        <v>265</v>
      </c>
      <c r="K123" s="18" t="s">
        <v>1735</v>
      </c>
      <c r="L123" s="36"/>
      <c r="M123" s="36" t="s">
        <v>1634</v>
      </c>
      <c r="N123" s="2">
        <v>32192</v>
      </c>
      <c r="O123" s="3">
        <v>32714</v>
      </c>
    </row>
    <row r="124" spans="1:18" ht="160.5" customHeight="1">
      <c r="A124" s="13"/>
      <c r="B124" s="11" t="s">
        <v>3328</v>
      </c>
      <c r="C124" s="11" t="s">
        <v>3329</v>
      </c>
      <c r="D124" s="32" t="s">
        <v>3330</v>
      </c>
      <c r="E124" s="12">
        <v>4</v>
      </c>
      <c r="F124" s="12">
        <v>2</v>
      </c>
      <c r="G124" s="12" t="s">
        <v>16</v>
      </c>
      <c r="H124" s="34" t="s">
        <v>124</v>
      </c>
      <c r="I124" s="9" t="s">
        <v>19</v>
      </c>
      <c r="J124" s="26" t="s">
        <v>266</v>
      </c>
      <c r="K124" s="18" t="s">
        <v>3331</v>
      </c>
      <c r="L124" s="25" t="s">
        <v>3226</v>
      </c>
      <c r="M124" s="25" t="s">
        <v>3226</v>
      </c>
      <c r="N124" s="39" t="s">
        <v>3390</v>
      </c>
      <c r="O124" s="2">
        <v>32714</v>
      </c>
      <c r="R124" s="12">
        <v>4</v>
      </c>
    </row>
    <row r="125" spans="1:18" ht="160.5" customHeight="1">
      <c r="A125" s="13"/>
      <c r="B125" s="11" t="s">
        <v>3110</v>
      </c>
      <c r="C125" s="11" t="s">
        <v>3111</v>
      </c>
      <c r="D125" s="32" t="s">
        <v>3112</v>
      </c>
      <c r="E125" s="12"/>
      <c r="F125" s="12"/>
      <c r="G125" s="12" t="s">
        <v>16</v>
      </c>
      <c r="H125" s="34" t="s">
        <v>43</v>
      </c>
      <c r="I125" s="9" t="s">
        <v>571</v>
      </c>
      <c r="J125" s="26" t="s">
        <v>265</v>
      </c>
      <c r="K125" s="18" t="s">
        <v>3099</v>
      </c>
      <c r="L125" s="36" t="s">
        <v>3002</v>
      </c>
      <c r="M125" s="36" t="s">
        <v>3002</v>
      </c>
      <c r="N125" s="2" t="s">
        <v>3136</v>
      </c>
      <c r="O125" s="2" t="s">
        <v>3136</v>
      </c>
      <c r="P125" s="2" t="s">
        <v>3136</v>
      </c>
      <c r="Q125" s="2" t="s">
        <v>3136</v>
      </c>
    </row>
    <row r="126" spans="1:18" ht="205.5" customHeight="1">
      <c r="A126" s="13"/>
      <c r="B126" s="11" t="s">
        <v>1190</v>
      </c>
      <c r="C126" s="11" t="s">
        <v>267</v>
      </c>
      <c r="D126" s="32" t="s">
        <v>268</v>
      </c>
      <c r="E126" s="12"/>
      <c r="F126" s="12">
        <v>3</v>
      </c>
      <c r="G126" s="12" t="s">
        <v>16</v>
      </c>
      <c r="H126" s="34" t="s">
        <v>269</v>
      </c>
      <c r="I126" s="17" t="s">
        <v>19</v>
      </c>
      <c r="J126" s="26"/>
      <c r="K126" s="50">
        <v>44314</v>
      </c>
      <c r="L126" s="19" t="s">
        <v>270</v>
      </c>
      <c r="M126" s="20"/>
      <c r="N126" s="2">
        <v>4860</v>
      </c>
      <c r="O126" s="3">
        <v>7</v>
      </c>
      <c r="P126" s="3" t="s">
        <v>884</v>
      </c>
    </row>
    <row r="127" spans="1:18" ht="150">
      <c r="A127" s="13">
        <v>70</v>
      </c>
      <c r="B127" s="11" t="s">
        <v>1191</v>
      </c>
      <c r="C127" s="10" t="s">
        <v>271</v>
      </c>
      <c r="D127" s="66" t="s">
        <v>1050</v>
      </c>
      <c r="E127" s="12"/>
      <c r="F127" s="9" t="s">
        <v>15</v>
      </c>
      <c r="G127" s="12" t="s">
        <v>16</v>
      </c>
      <c r="H127" s="34" t="s">
        <v>269</v>
      </c>
      <c r="I127" s="17" t="s">
        <v>19</v>
      </c>
      <c r="J127" s="28" t="s">
        <v>272</v>
      </c>
      <c r="K127" s="18" t="s">
        <v>1425</v>
      </c>
      <c r="L127" s="20" t="s">
        <v>1375</v>
      </c>
      <c r="M127" s="20"/>
      <c r="N127" s="2" t="s">
        <v>1706</v>
      </c>
      <c r="O127" s="2" t="s">
        <v>1706</v>
      </c>
      <c r="P127" s="2" t="s">
        <v>1706</v>
      </c>
      <c r="Q127" s="2" t="s">
        <v>1706</v>
      </c>
      <c r="R127" s="3" t="s">
        <v>2700</v>
      </c>
    </row>
    <row r="128" spans="1:18" ht="225" customHeight="1">
      <c r="A128" s="13">
        <v>71</v>
      </c>
      <c r="B128" s="11" t="s">
        <v>1650</v>
      </c>
      <c r="C128" s="10" t="s">
        <v>273</v>
      </c>
      <c r="D128" s="32" t="s">
        <v>1051</v>
      </c>
      <c r="E128" s="12"/>
      <c r="F128" s="12">
        <v>2</v>
      </c>
      <c r="G128" s="12" t="s">
        <v>16</v>
      </c>
      <c r="H128" s="34" t="s">
        <v>43</v>
      </c>
      <c r="I128" s="13" t="s">
        <v>19</v>
      </c>
      <c r="J128" s="71">
        <v>6503653041</v>
      </c>
      <c r="K128" s="18" t="s">
        <v>1642</v>
      </c>
      <c r="L128" s="25" t="s">
        <v>1885</v>
      </c>
      <c r="M128" s="25"/>
      <c r="N128" s="2">
        <v>32192</v>
      </c>
      <c r="O128" s="2">
        <v>32714</v>
      </c>
      <c r="R128" s="72" t="s">
        <v>2120</v>
      </c>
    </row>
    <row r="129" spans="1:20" ht="297.75" customHeight="1">
      <c r="A129" s="13"/>
      <c r="B129" s="11" t="s">
        <v>274</v>
      </c>
      <c r="C129" s="10" t="s">
        <v>275</v>
      </c>
      <c r="D129" s="32" t="s">
        <v>1052</v>
      </c>
      <c r="E129" s="12"/>
      <c r="F129" s="12">
        <v>2</v>
      </c>
      <c r="G129" s="37" t="s">
        <v>311</v>
      </c>
      <c r="H129" s="34" t="s">
        <v>96</v>
      </c>
      <c r="I129" s="13" t="s">
        <v>19</v>
      </c>
      <c r="J129" s="28" t="s">
        <v>276</v>
      </c>
      <c r="K129" s="18" t="s">
        <v>1532</v>
      </c>
      <c r="L129" s="20" t="s">
        <v>924</v>
      </c>
      <c r="M129" s="20"/>
      <c r="N129" s="2">
        <v>32192</v>
      </c>
      <c r="O129" s="3">
        <v>8853</v>
      </c>
      <c r="R129" s="3" t="s">
        <v>1913</v>
      </c>
    </row>
    <row r="130" spans="1:20" ht="237" customHeight="1">
      <c r="A130" s="13">
        <v>72</v>
      </c>
      <c r="B130" s="11" t="s">
        <v>1192</v>
      </c>
      <c r="C130" s="10" t="s">
        <v>277</v>
      </c>
      <c r="D130" s="32" t="s">
        <v>2179</v>
      </c>
      <c r="E130" s="12"/>
      <c r="F130" s="12">
        <v>2</v>
      </c>
      <c r="G130" s="12" t="s">
        <v>16</v>
      </c>
      <c r="H130" s="34" t="s">
        <v>96</v>
      </c>
      <c r="I130" s="17" t="s">
        <v>19</v>
      </c>
      <c r="J130" s="82" t="s">
        <v>278</v>
      </c>
      <c r="K130" s="295" t="s">
        <v>2180</v>
      </c>
      <c r="L130" s="19" t="s">
        <v>1864</v>
      </c>
      <c r="M130" s="20" t="s">
        <v>868</v>
      </c>
      <c r="N130" s="2">
        <v>32192</v>
      </c>
      <c r="O130" s="3">
        <v>9676</v>
      </c>
      <c r="R130" s="3" t="s">
        <v>3241</v>
      </c>
    </row>
    <row r="131" spans="1:20" ht="225">
      <c r="A131" s="13"/>
      <c r="B131" s="11" t="s">
        <v>1193</v>
      </c>
      <c r="C131" s="10" t="s">
        <v>1915</v>
      </c>
      <c r="D131" s="32" t="s">
        <v>1916</v>
      </c>
      <c r="E131" s="12"/>
      <c r="F131" s="12"/>
      <c r="G131" s="12" t="s">
        <v>16</v>
      </c>
      <c r="H131" s="34" t="s">
        <v>96</v>
      </c>
      <c r="I131" s="75" t="s">
        <v>571</v>
      </c>
      <c r="J131" s="82" t="s">
        <v>279</v>
      </c>
      <c r="K131" s="76" t="s">
        <v>1914</v>
      </c>
      <c r="L131" s="77" t="s">
        <v>1859</v>
      </c>
      <c r="M131" s="77" t="s">
        <v>1859</v>
      </c>
      <c r="N131" s="2">
        <v>32192</v>
      </c>
      <c r="O131" s="11" t="s">
        <v>1194</v>
      </c>
      <c r="R131" s="3" t="s">
        <v>3177</v>
      </c>
    </row>
    <row r="132" spans="1:20" ht="409.5">
      <c r="A132" s="13"/>
      <c r="B132" s="11" t="s">
        <v>3223</v>
      </c>
      <c r="C132" s="10" t="s">
        <v>3224</v>
      </c>
      <c r="D132" s="32" t="s">
        <v>3225</v>
      </c>
      <c r="E132" s="12">
        <v>6</v>
      </c>
      <c r="F132" s="9" t="s">
        <v>15</v>
      </c>
      <c r="G132" s="12"/>
      <c r="H132" s="34"/>
      <c r="I132" s="17" t="s">
        <v>19</v>
      </c>
      <c r="J132" s="28"/>
      <c r="K132" s="18" t="s">
        <v>3222</v>
      </c>
      <c r="L132" s="25" t="s">
        <v>3226</v>
      </c>
      <c r="M132" s="25" t="s">
        <v>3226</v>
      </c>
      <c r="N132" s="2" t="s">
        <v>1768</v>
      </c>
      <c r="O132" s="2" t="s">
        <v>1768</v>
      </c>
      <c r="P132" s="2" t="s">
        <v>1768</v>
      </c>
      <c r="Q132" s="2" t="s">
        <v>1768</v>
      </c>
    </row>
    <row r="133" spans="1:20" ht="258" customHeight="1">
      <c r="A133" s="13"/>
      <c r="B133" s="11" t="s">
        <v>1395</v>
      </c>
      <c r="C133" s="10" t="s">
        <v>280</v>
      </c>
      <c r="D133" s="32" t="s">
        <v>281</v>
      </c>
      <c r="E133" s="12"/>
      <c r="F133" s="12">
        <v>2</v>
      </c>
      <c r="G133" s="12" t="s">
        <v>16</v>
      </c>
      <c r="H133" s="34" t="s">
        <v>81</v>
      </c>
      <c r="I133" s="13" t="s">
        <v>19</v>
      </c>
      <c r="J133" s="28" t="s">
        <v>282</v>
      </c>
      <c r="K133" s="14">
        <v>44746</v>
      </c>
      <c r="L133" s="20" t="s">
        <v>21</v>
      </c>
      <c r="M133" s="20"/>
      <c r="N133" s="2">
        <v>32192</v>
      </c>
      <c r="O133" s="3">
        <v>32714</v>
      </c>
    </row>
    <row r="134" spans="1:20" ht="253.5" customHeight="1">
      <c r="A134" s="13"/>
      <c r="B134" s="11" t="s">
        <v>1195</v>
      </c>
      <c r="C134" s="10" t="s">
        <v>2060</v>
      </c>
      <c r="D134" s="11" t="s">
        <v>1053</v>
      </c>
      <c r="E134" s="12"/>
      <c r="F134" s="12">
        <v>2</v>
      </c>
      <c r="G134" s="12" t="s">
        <v>16</v>
      </c>
      <c r="H134" s="34" t="s">
        <v>81</v>
      </c>
      <c r="I134" s="13" t="s">
        <v>19</v>
      </c>
      <c r="J134" s="13" t="s">
        <v>283</v>
      </c>
      <c r="K134" s="83" t="s">
        <v>2053</v>
      </c>
      <c r="L134" s="19"/>
      <c r="M134" s="19" t="s">
        <v>1885</v>
      </c>
      <c r="N134" s="2">
        <v>32714</v>
      </c>
      <c r="O134" s="3">
        <v>9676</v>
      </c>
      <c r="P134" s="29">
        <v>44502</v>
      </c>
      <c r="Q134" s="19" t="s">
        <v>62</v>
      </c>
      <c r="R134" s="12" t="s">
        <v>2985</v>
      </c>
    </row>
    <row r="135" spans="1:20" ht="353.25" customHeight="1">
      <c r="A135" s="13"/>
      <c r="B135" s="11" t="s">
        <v>1378</v>
      </c>
      <c r="C135" s="10" t="s">
        <v>1377</v>
      </c>
      <c r="D135" s="11" t="s">
        <v>1379</v>
      </c>
      <c r="E135" s="12"/>
      <c r="F135" s="12">
        <v>2</v>
      </c>
      <c r="G135" s="12" t="s">
        <v>16</v>
      </c>
      <c r="H135" s="34" t="s">
        <v>81</v>
      </c>
      <c r="I135" s="24" t="s">
        <v>2011</v>
      </c>
      <c r="J135" s="13" t="s">
        <v>284</v>
      </c>
      <c r="K135" s="83" t="s">
        <v>2010</v>
      </c>
      <c r="L135" s="108" t="s">
        <v>80</v>
      </c>
      <c r="M135" s="108"/>
      <c r="N135" s="2">
        <v>32192</v>
      </c>
      <c r="O135" s="2">
        <v>32714</v>
      </c>
      <c r="R135" s="162" t="s">
        <v>2572</v>
      </c>
    </row>
    <row r="136" spans="1:20" ht="138.75" customHeight="1">
      <c r="A136" s="13">
        <v>89</v>
      </c>
      <c r="B136" s="11" t="s">
        <v>3288</v>
      </c>
      <c r="C136" s="11" t="s">
        <v>3289</v>
      </c>
      <c r="D136" s="343" t="s">
        <v>3290</v>
      </c>
      <c r="E136" s="12">
        <v>4</v>
      </c>
      <c r="F136" s="12">
        <v>3</v>
      </c>
      <c r="G136" s="12" t="s">
        <v>16</v>
      </c>
      <c r="H136" s="34" t="s">
        <v>285</v>
      </c>
      <c r="I136" s="109" t="s">
        <v>2439</v>
      </c>
      <c r="J136" s="82" t="s">
        <v>286</v>
      </c>
      <c r="K136" s="363" t="s">
        <v>3285</v>
      </c>
      <c r="L136" s="364"/>
      <c r="M136" s="363" t="s">
        <v>3291</v>
      </c>
      <c r="N136" s="2">
        <v>7277</v>
      </c>
      <c r="P136" s="3">
        <v>32785</v>
      </c>
      <c r="Q136" s="3">
        <v>32785</v>
      </c>
      <c r="T136" s="3" t="s">
        <v>1775</v>
      </c>
    </row>
    <row r="137" spans="1:20" ht="234" customHeight="1">
      <c r="A137" s="13"/>
      <c r="B137" s="11" t="s">
        <v>1196</v>
      </c>
      <c r="C137" s="10" t="s">
        <v>287</v>
      </c>
      <c r="D137" s="11" t="s">
        <v>288</v>
      </c>
      <c r="E137" s="12"/>
      <c r="F137" s="12">
        <v>3</v>
      </c>
      <c r="G137" s="12" t="s">
        <v>16</v>
      </c>
      <c r="H137" s="9" t="s">
        <v>228</v>
      </c>
      <c r="I137" s="28" t="s">
        <v>289</v>
      </c>
      <c r="J137" s="82" t="s">
        <v>290</v>
      </c>
      <c r="K137" s="14">
        <v>44342</v>
      </c>
      <c r="N137" s="2">
        <v>4860</v>
      </c>
      <c r="O137" s="3">
        <v>4</v>
      </c>
    </row>
    <row r="138" spans="1:20" ht="187.5">
      <c r="A138" s="13"/>
      <c r="B138" s="11" t="s">
        <v>1197</v>
      </c>
      <c r="C138" s="10" t="s">
        <v>291</v>
      </c>
      <c r="D138" s="11" t="s">
        <v>292</v>
      </c>
      <c r="E138" s="12"/>
      <c r="F138" s="12">
        <v>4</v>
      </c>
      <c r="G138" s="37" t="s">
        <v>293</v>
      </c>
      <c r="H138" s="9" t="s">
        <v>228</v>
      </c>
      <c r="I138" s="109" t="s">
        <v>294</v>
      </c>
      <c r="J138" s="28" t="s">
        <v>295</v>
      </c>
      <c r="K138" s="14">
        <v>44384</v>
      </c>
      <c r="N138" s="2">
        <v>4860</v>
      </c>
      <c r="O138" s="3">
        <v>4</v>
      </c>
    </row>
    <row r="139" spans="1:20" ht="183.75" customHeight="1">
      <c r="A139" s="13"/>
      <c r="B139" s="11" t="s">
        <v>1108</v>
      </c>
      <c r="C139" s="11" t="s">
        <v>1109</v>
      </c>
      <c r="D139" s="10" t="s">
        <v>1111</v>
      </c>
      <c r="E139" s="12"/>
      <c r="F139" s="12">
        <v>3</v>
      </c>
      <c r="G139" s="12" t="s">
        <v>16</v>
      </c>
      <c r="H139" s="9" t="s">
        <v>96</v>
      </c>
      <c r="I139" s="28" t="s">
        <v>1482</v>
      </c>
      <c r="J139" s="30"/>
      <c r="K139" s="18" t="s">
        <v>1107</v>
      </c>
      <c r="L139" s="20" t="s">
        <v>152</v>
      </c>
      <c r="M139" s="20"/>
      <c r="P139" s="3">
        <v>32785</v>
      </c>
    </row>
    <row r="140" spans="1:20" ht="154.5" customHeight="1">
      <c r="A140" s="13"/>
      <c r="B140" s="11" t="s">
        <v>1883</v>
      </c>
      <c r="C140" s="10" t="s">
        <v>2946</v>
      </c>
      <c r="D140" s="32" t="s">
        <v>2947</v>
      </c>
      <c r="E140" s="12"/>
      <c r="F140" s="12"/>
      <c r="G140" s="12" t="s">
        <v>16</v>
      </c>
      <c r="H140" s="34" t="s">
        <v>43</v>
      </c>
      <c r="I140" s="75" t="s">
        <v>571</v>
      </c>
      <c r="J140" s="28" t="s">
        <v>296</v>
      </c>
      <c r="K140" s="18" t="s">
        <v>2948</v>
      </c>
      <c r="L140" s="25"/>
      <c r="M140" s="25" t="s">
        <v>2845</v>
      </c>
      <c r="N140" s="2" t="s">
        <v>297</v>
      </c>
      <c r="O140" s="2" t="s">
        <v>297</v>
      </c>
      <c r="P140" s="2" t="s">
        <v>297</v>
      </c>
      <c r="Q140" s="2" t="s">
        <v>297</v>
      </c>
      <c r="R140" s="3" t="s">
        <v>2689</v>
      </c>
    </row>
    <row r="141" spans="1:20" ht="252.75" customHeight="1">
      <c r="A141" s="13">
        <v>92</v>
      </c>
      <c r="B141" s="11" t="s">
        <v>298</v>
      </c>
      <c r="C141" s="10" t="s">
        <v>1421</v>
      </c>
      <c r="D141" s="32" t="s">
        <v>1791</v>
      </c>
      <c r="E141" s="12"/>
      <c r="F141" s="12">
        <v>3</v>
      </c>
      <c r="G141" s="12" t="s">
        <v>16</v>
      </c>
      <c r="H141" s="34" t="s">
        <v>18</v>
      </c>
      <c r="I141" s="17" t="s">
        <v>19</v>
      </c>
      <c r="J141" s="30" t="s">
        <v>299</v>
      </c>
      <c r="K141" s="18" t="s">
        <v>1792</v>
      </c>
      <c r="L141" s="45" t="s">
        <v>1731</v>
      </c>
      <c r="M141" s="84"/>
      <c r="N141" s="2">
        <v>4860</v>
      </c>
      <c r="O141" s="3" t="s">
        <v>175</v>
      </c>
      <c r="P141" s="3">
        <v>32714</v>
      </c>
      <c r="R141" s="12" t="s">
        <v>3143</v>
      </c>
    </row>
    <row r="142" spans="1:20" ht="307.5" customHeight="1">
      <c r="A142" s="13">
        <v>93</v>
      </c>
      <c r="B142" s="11" t="s">
        <v>1413</v>
      </c>
      <c r="C142" s="10" t="s">
        <v>1483</v>
      </c>
      <c r="D142" s="32" t="s">
        <v>2165</v>
      </c>
      <c r="E142" s="12"/>
      <c r="F142" s="12">
        <v>3</v>
      </c>
      <c r="G142" s="12" t="s">
        <v>16</v>
      </c>
      <c r="H142" s="33" t="s">
        <v>301</v>
      </c>
      <c r="I142" s="17" t="s">
        <v>19</v>
      </c>
      <c r="J142" s="26" t="s">
        <v>302</v>
      </c>
      <c r="K142" s="18" t="s">
        <v>1754</v>
      </c>
      <c r="L142" s="25"/>
      <c r="M142" s="25" t="s">
        <v>1634</v>
      </c>
      <c r="N142" s="2">
        <v>32714</v>
      </c>
      <c r="P142" s="2">
        <v>32192</v>
      </c>
      <c r="R142" s="12" t="s">
        <v>3143</v>
      </c>
    </row>
    <row r="143" spans="1:20" ht="243.75">
      <c r="A143" s="13"/>
      <c r="B143" s="11" t="s">
        <v>986</v>
      </c>
      <c r="C143" s="10" t="s">
        <v>987</v>
      </c>
      <c r="D143" s="32" t="s">
        <v>1060</v>
      </c>
      <c r="E143" s="12"/>
      <c r="F143" s="12">
        <v>3</v>
      </c>
      <c r="G143" s="12" t="s">
        <v>16</v>
      </c>
      <c r="H143" s="33"/>
      <c r="I143" s="17" t="s">
        <v>19</v>
      </c>
      <c r="J143" s="26"/>
      <c r="K143" s="18" t="s">
        <v>449</v>
      </c>
      <c r="L143" s="25"/>
      <c r="M143" s="25" t="s">
        <v>982</v>
      </c>
      <c r="N143" s="2">
        <v>9676</v>
      </c>
      <c r="P143" s="3">
        <v>9676</v>
      </c>
      <c r="R143" s="162" t="s">
        <v>2674</v>
      </c>
    </row>
    <row r="144" spans="1:20" ht="300">
      <c r="A144" s="13"/>
      <c r="B144" s="11" t="s">
        <v>3233</v>
      </c>
      <c r="C144" s="11" t="s">
        <v>3234</v>
      </c>
      <c r="D144" s="181" t="s">
        <v>3235</v>
      </c>
      <c r="E144" s="12">
        <v>4</v>
      </c>
      <c r="F144" s="12">
        <v>3</v>
      </c>
      <c r="G144" s="37" t="s">
        <v>303</v>
      </c>
      <c r="H144" s="33" t="s">
        <v>301</v>
      </c>
      <c r="I144" s="17" t="s">
        <v>19</v>
      </c>
      <c r="J144" s="26" t="s">
        <v>302</v>
      </c>
      <c r="K144" s="18" t="s">
        <v>3232</v>
      </c>
      <c r="L144" s="361" t="s">
        <v>2897</v>
      </c>
      <c r="M144" s="361" t="s">
        <v>2897</v>
      </c>
      <c r="N144" s="2">
        <v>9676</v>
      </c>
      <c r="O144" s="3" t="s">
        <v>175</v>
      </c>
      <c r="P144" s="3">
        <v>9676</v>
      </c>
      <c r="R144" s="12" t="s">
        <v>3205</v>
      </c>
    </row>
    <row r="145" spans="1:21" ht="220.5" customHeight="1">
      <c r="A145" s="13"/>
      <c r="B145" s="11" t="s">
        <v>1198</v>
      </c>
      <c r="C145" s="10" t="s">
        <v>2488</v>
      </c>
      <c r="D145" s="32" t="s">
        <v>2489</v>
      </c>
      <c r="E145" s="12"/>
      <c r="F145" s="12">
        <v>3</v>
      </c>
      <c r="G145" s="12" t="s">
        <v>16</v>
      </c>
      <c r="H145" s="33" t="s">
        <v>96</v>
      </c>
      <c r="I145" s="24" t="s">
        <v>1470</v>
      </c>
      <c r="J145" s="26" t="s">
        <v>304</v>
      </c>
      <c r="K145" s="18" t="s">
        <v>2484</v>
      </c>
      <c r="L145" s="25" t="s">
        <v>1074</v>
      </c>
      <c r="M145" s="25" t="s">
        <v>1074</v>
      </c>
      <c r="N145" s="2">
        <v>9676</v>
      </c>
      <c r="P145" s="3">
        <v>9676</v>
      </c>
      <c r="R145" s="3" t="s">
        <v>3264</v>
      </c>
    </row>
    <row r="146" spans="1:21" ht="190.5" customHeight="1">
      <c r="A146" s="13">
        <v>94</v>
      </c>
      <c r="B146" s="11" t="s">
        <v>1199</v>
      </c>
      <c r="C146" s="10" t="s">
        <v>1117</v>
      </c>
      <c r="D146" s="11" t="s">
        <v>2181</v>
      </c>
      <c r="E146" s="12"/>
      <c r="F146" s="37">
        <v>4</v>
      </c>
      <c r="G146" s="12" t="s">
        <v>16</v>
      </c>
      <c r="H146" s="34" t="s">
        <v>306</v>
      </c>
      <c r="I146" s="28" t="s">
        <v>51</v>
      </c>
      <c r="J146" s="82" t="s">
        <v>307</v>
      </c>
      <c r="K146" s="18" t="s">
        <v>1759</v>
      </c>
      <c r="L146" s="18" t="s">
        <v>2085</v>
      </c>
      <c r="M146" s="18"/>
      <c r="N146" s="2">
        <v>32714</v>
      </c>
      <c r="Q146" s="2">
        <v>9676</v>
      </c>
      <c r="R146" s="3" t="s">
        <v>3178</v>
      </c>
    </row>
    <row r="147" spans="1:21" ht="356.25" customHeight="1">
      <c r="A147" s="13"/>
      <c r="B147" s="11" t="s">
        <v>1636</v>
      </c>
      <c r="C147" s="10" t="s">
        <v>2745</v>
      </c>
      <c r="D147" s="11" t="s">
        <v>2746</v>
      </c>
      <c r="E147" s="12">
        <v>4</v>
      </c>
      <c r="F147" s="37">
        <v>1</v>
      </c>
      <c r="G147" s="12" t="s">
        <v>16</v>
      </c>
      <c r="H147" s="34" t="s">
        <v>306</v>
      </c>
      <c r="I147" s="28" t="s">
        <v>51</v>
      </c>
      <c r="J147" s="28" t="s">
        <v>308</v>
      </c>
      <c r="K147" s="122" t="s">
        <v>924</v>
      </c>
      <c r="L147" s="344" t="s">
        <v>1717</v>
      </c>
      <c r="M147" s="25" t="s">
        <v>1375</v>
      </c>
      <c r="N147" s="2">
        <v>9676</v>
      </c>
    </row>
    <row r="148" spans="1:21" ht="409.5">
      <c r="A148" s="13"/>
      <c r="B148" s="11" t="s">
        <v>2462</v>
      </c>
      <c r="C148" s="10" t="s">
        <v>310</v>
      </c>
      <c r="D148" s="11" t="s">
        <v>1772</v>
      </c>
      <c r="E148" s="12"/>
      <c r="F148" s="37">
        <v>4</v>
      </c>
      <c r="G148" s="37" t="s">
        <v>311</v>
      </c>
      <c r="H148" s="34" t="s">
        <v>312</v>
      </c>
      <c r="I148" s="28" t="s">
        <v>51</v>
      </c>
      <c r="J148" s="82" t="s">
        <v>313</v>
      </c>
      <c r="K148" s="18" t="s">
        <v>1770</v>
      </c>
      <c r="L148" s="25" t="s">
        <v>1731</v>
      </c>
      <c r="M148" s="25"/>
      <c r="N148" s="2">
        <v>32714</v>
      </c>
      <c r="Q148" s="2">
        <v>9676</v>
      </c>
      <c r="R148" s="12" t="s">
        <v>3143</v>
      </c>
    </row>
    <row r="149" spans="1:21" ht="191.25" customHeight="1">
      <c r="A149" s="13">
        <v>95</v>
      </c>
      <c r="B149" s="11" t="s">
        <v>1200</v>
      </c>
      <c r="C149" s="10" t="s">
        <v>315</v>
      </c>
      <c r="D149" s="11" t="s">
        <v>1067</v>
      </c>
      <c r="E149" s="12"/>
      <c r="F149" s="37" t="s">
        <v>1692</v>
      </c>
      <c r="G149" s="12" t="s">
        <v>16</v>
      </c>
      <c r="H149" s="34" t="s">
        <v>201</v>
      </c>
      <c r="I149" s="17" t="s">
        <v>19</v>
      </c>
      <c r="J149" s="28" t="s">
        <v>316</v>
      </c>
      <c r="K149" s="76" t="s">
        <v>1905</v>
      </c>
      <c r="L149" s="77" t="s">
        <v>1864</v>
      </c>
      <c r="M149" s="77"/>
      <c r="N149" s="2">
        <v>9676</v>
      </c>
      <c r="P149" s="3">
        <v>9676</v>
      </c>
      <c r="R149" s="3" t="s">
        <v>3205</v>
      </c>
    </row>
    <row r="150" spans="1:21" ht="191.25" customHeight="1">
      <c r="A150" s="13"/>
      <c r="B150" s="11" t="s">
        <v>2969</v>
      </c>
      <c r="C150" s="10" t="s">
        <v>2970</v>
      </c>
      <c r="D150" s="11" t="s">
        <v>1537</v>
      </c>
      <c r="E150" s="12">
        <v>4</v>
      </c>
      <c r="F150" s="37">
        <v>1</v>
      </c>
      <c r="G150" s="12" t="s">
        <v>16</v>
      </c>
      <c r="H150" s="34" t="s">
        <v>201</v>
      </c>
      <c r="I150" s="17" t="s">
        <v>19</v>
      </c>
      <c r="J150" s="28" t="s">
        <v>316</v>
      </c>
      <c r="K150" s="76" t="s">
        <v>2956</v>
      </c>
      <c r="L150" s="77"/>
      <c r="M150" s="77" t="s">
        <v>2887</v>
      </c>
      <c r="N150" s="2">
        <v>9676</v>
      </c>
      <c r="R150" s="162" t="s">
        <v>485</v>
      </c>
    </row>
    <row r="151" spans="1:21" ht="337.5">
      <c r="A151" s="13">
        <v>96</v>
      </c>
      <c r="B151" s="11" t="s">
        <v>3471</v>
      </c>
      <c r="C151" s="10" t="s">
        <v>3472</v>
      </c>
      <c r="D151" s="32" t="s">
        <v>3473</v>
      </c>
      <c r="E151" s="12">
        <v>4</v>
      </c>
      <c r="F151" s="12">
        <v>3</v>
      </c>
      <c r="G151" s="12" t="s">
        <v>16</v>
      </c>
      <c r="H151" s="34" t="s">
        <v>317</v>
      </c>
      <c r="I151" s="17" t="s">
        <v>19</v>
      </c>
      <c r="J151" s="26" t="s">
        <v>318</v>
      </c>
      <c r="K151" s="18" t="s">
        <v>3466</v>
      </c>
      <c r="L151" s="20"/>
      <c r="M151" s="18" t="s">
        <v>1074</v>
      </c>
      <c r="N151" s="39" t="s">
        <v>3389</v>
      </c>
      <c r="O151" s="3" t="s">
        <v>175</v>
      </c>
      <c r="P151" s="3">
        <v>9676</v>
      </c>
      <c r="R151" s="3" t="s">
        <v>3429</v>
      </c>
    </row>
    <row r="152" spans="1:21" ht="224.25" customHeight="1">
      <c r="A152" s="13"/>
      <c r="B152" s="11" t="s">
        <v>1201</v>
      </c>
      <c r="C152" s="10" t="s">
        <v>319</v>
      </c>
      <c r="D152" s="32" t="s">
        <v>2474</v>
      </c>
      <c r="E152" s="12"/>
      <c r="F152" s="12">
        <v>3</v>
      </c>
      <c r="G152" s="12"/>
      <c r="H152" s="34"/>
      <c r="I152" s="9" t="s">
        <v>51</v>
      </c>
      <c r="J152" s="26"/>
      <c r="K152" s="18" t="s">
        <v>2468</v>
      </c>
      <c r="L152" s="20" t="s">
        <v>1074</v>
      </c>
      <c r="M152" s="20" t="s">
        <v>1074</v>
      </c>
      <c r="P152" s="3">
        <v>9676</v>
      </c>
      <c r="R152" s="12" t="s">
        <v>3205</v>
      </c>
    </row>
    <row r="153" spans="1:21" ht="409.5">
      <c r="A153" s="13"/>
      <c r="B153" s="11" t="s">
        <v>1823</v>
      </c>
      <c r="C153" s="10" t="s">
        <v>320</v>
      </c>
      <c r="D153" s="32" t="s">
        <v>1683</v>
      </c>
      <c r="E153" s="12"/>
      <c r="F153" s="12">
        <v>3</v>
      </c>
      <c r="G153" s="12" t="s">
        <v>16</v>
      </c>
      <c r="H153" s="34" t="s">
        <v>317</v>
      </c>
      <c r="I153" s="24" t="s">
        <v>1468</v>
      </c>
      <c r="J153" s="26" t="s">
        <v>321</v>
      </c>
      <c r="K153" s="18" t="s">
        <v>1682</v>
      </c>
      <c r="L153" s="97"/>
      <c r="M153" s="97" t="s">
        <v>1613</v>
      </c>
      <c r="N153" s="2">
        <v>9676</v>
      </c>
      <c r="P153" s="2">
        <v>9676</v>
      </c>
      <c r="R153" s="12" t="s">
        <v>3054</v>
      </c>
    </row>
    <row r="154" spans="1:21" ht="295.5" customHeight="1">
      <c r="A154" s="13"/>
      <c r="B154" s="11" t="s">
        <v>1202</v>
      </c>
      <c r="C154" s="10" t="s">
        <v>322</v>
      </c>
      <c r="D154" s="32" t="s">
        <v>1061</v>
      </c>
      <c r="E154" s="12"/>
      <c r="F154" s="12">
        <v>3</v>
      </c>
      <c r="G154" s="12" t="s">
        <v>16</v>
      </c>
      <c r="H154" s="34" t="s">
        <v>317</v>
      </c>
      <c r="I154" s="17" t="s">
        <v>19</v>
      </c>
      <c r="J154" s="26" t="s">
        <v>323</v>
      </c>
      <c r="K154" s="18" t="s">
        <v>2117</v>
      </c>
      <c r="L154" s="25" t="s">
        <v>1557</v>
      </c>
      <c r="M154" s="25" t="s">
        <v>1557</v>
      </c>
      <c r="N154" s="2">
        <v>9676</v>
      </c>
      <c r="P154" s="3">
        <v>9676</v>
      </c>
      <c r="R154" s="3" t="s">
        <v>3264</v>
      </c>
    </row>
    <row r="155" spans="1:21" ht="337.5">
      <c r="A155" s="13"/>
      <c r="B155" s="11" t="s">
        <v>1396</v>
      </c>
      <c r="C155" s="10" t="s">
        <v>1803</v>
      </c>
      <c r="D155" s="32" t="s">
        <v>1062</v>
      </c>
      <c r="E155" s="12"/>
      <c r="F155" s="12">
        <v>3</v>
      </c>
      <c r="G155" s="12" t="s">
        <v>16</v>
      </c>
      <c r="H155" s="34" t="s">
        <v>18</v>
      </c>
      <c r="I155" s="17" t="s">
        <v>19</v>
      </c>
      <c r="J155" s="28" t="s">
        <v>324</v>
      </c>
      <c r="K155" s="14">
        <v>44809</v>
      </c>
      <c r="L155" s="97" t="s">
        <v>25</v>
      </c>
      <c r="M155" s="98"/>
      <c r="P155" s="3">
        <v>8853</v>
      </c>
    </row>
    <row r="156" spans="1:21" ht="393.75">
      <c r="A156" s="13"/>
      <c r="B156" s="11" t="s">
        <v>1397</v>
      </c>
      <c r="C156" s="10" t="s">
        <v>1681</v>
      </c>
      <c r="D156" s="32" t="s">
        <v>1554</v>
      </c>
      <c r="E156" s="12"/>
      <c r="F156" s="12">
        <v>4</v>
      </c>
      <c r="G156" s="12" t="s">
        <v>16</v>
      </c>
      <c r="H156" s="34" t="s">
        <v>18</v>
      </c>
      <c r="I156" s="75" t="s">
        <v>1674</v>
      </c>
      <c r="J156" s="28" t="s">
        <v>324</v>
      </c>
      <c r="K156" s="18" t="s">
        <v>1552</v>
      </c>
      <c r="M156" s="25" t="s">
        <v>1553</v>
      </c>
      <c r="N156" s="2">
        <v>32192</v>
      </c>
      <c r="Q156" s="2">
        <v>32714</v>
      </c>
      <c r="R156" s="162" t="s">
        <v>485</v>
      </c>
    </row>
    <row r="157" spans="1:21" ht="177" customHeight="1">
      <c r="A157" s="13">
        <v>98</v>
      </c>
      <c r="B157" s="11" t="s">
        <v>1203</v>
      </c>
      <c r="C157" s="10" t="s">
        <v>1907</v>
      </c>
      <c r="D157" s="11" t="s">
        <v>1908</v>
      </c>
      <c r="E157" s="12"/>
      <c r="F157" s="12">
        <v>3</v>
      </c>
      <c r="G157" s="12" t="s">
        <v>16</v>
      </c>
      <c r="H157" s="34" t="s">
        <v>18</v>
      </c>
      <c r="I157" s="17" t="s">
        <v>19</v>
      </c>
      <c r="J157" s="30" t="s">
        <v>326</v>
      </c>
      <c r="K157" s="18" t="s">
        <v>1905</v>
      </c>
      <c r="L157" s="84" t="s">
        <v>1859</v>
      </c>
      <c r="M157" s="84" t="s">
        <v>1859</v>
      </c>
      <c r="N157" s="2">
        <v>4860</v>
      </c>
      <c r="O157" s="3" t="s">
        <v>175</v>
      </c>
      <c r="P157" s="3">
        <v>32714</v>
      </c>
      <c r="R157" s="3" t="s">
        <v>3178</v>
      </c>
    </row>
    <row r="158" spans="1:21" ht="241.5" customHeight="1">
      <c r="A158" s="13">
        <v>99</v>
      </c>
      <c r="B158" s="11" t="s">
        <v>1414</v>
      </c>
      <c r="C158" s="11" t="s">
        <v>2747</v>
      </c>
      <c r="D158" s="350" t="s">
        <v>2748</v>
      </c>
      <c r="E158" s="12"/>
      <c r="F158" s="12">
        <v>3</v>
      </c>
      <c r="G158" s="12" t="s">
        <v>16</v>
      </c>
      <c r="H158" s="34" t="s">
        <v>18</v>
      </c>
      <c r="I158" s="17" t="s">
        <v>19</v>
      </c>
      <c r="J158" s="30" t="s">
        <v>327</v>
      </c>
      <c r="K158" s="122" t="s">
        <v>924</v>
      </c>
      <c r="L158" s="344" t="s">
        <v>1717</v>
      </c>
      <c r="M158" s="344"/>
      <c r="N158" s="2">
        <v>9676</v>
      </c>
      <c r="O158" s="3" t="s">
        <v>175</v>
      </c>
      <c r="P158" s="3">
        <v>9676</v>
      </c>
      <c r="R158" s="12" t="s">
        <v>3028</v>
      </c>
    </row>
    <row r="159" spans="1:21" ht="204.75" customHeight="1">
      <c r="A159" s="13">
        <v>100</v>
      </c>
      <c r="B159" s="11" t="s">
        <v>1612</v>
      </c>
      <c r="C159" s="10" t="s">
        <v>3049</v>
      </c>
      <c r="D159" s="32" t="s">
        <v>2912</v>
      </c>
      <c r="E159" s="12">
        <v>6</v>
      </c>
      <c r="F159" s="12">
        <v>2</v>
      </c>
      <c r="G159" s="12" t="s">
        <v>16</v>
      </c>
      <c r="H159" s="34" t="s">
        <v>18</v>
      </c>
      <c r="I159" s="28" t="s">
        <v>19</v>
      </c>
      <c r="J159" s="30" t="s">
        <v>328</v>
      </c>
      <c r="K159" s="18" t="s">
        <v>2913</v>
      </c>
      <c r="L159" s="20" t="s">
        <v>2897</v>
      </c>
      <c r="M159" s="20" t="s">
        <v>2897</v>
      </c>
      <c r="N159" s="2">
        <v>32785</v>
      </c>
      <c r="O159" s="3">
        <v>32785</v>
      </c>
      <c r="P159" s="3">
        <v>32785</v>
      </c>
      <c r="Q159" s="2">
        <v>32785</v>
      </c>
      <c r="R159" s="12">
        <v>4</v>
      </c>
    </row>
    <row r="160" spans="1:21" ht="229.5" customHeight="1">
      <c r="A160" s="13"/>
      <c r="B160" s="10" t="s">
        <v>1204</v>
      </c>
      <c r="C160" s="10" t="s">
        <v>2766</v>
      </c>
      <c r="D160" s="11" t="s">
        <v>2767</v>
      </c>
      <c r="E160" s="12">
        <v>4</v>
      </c>
      <c r="F160" s="12">
        <v>3</v>
      </c>
      <c r="G160" s="12" t="s">
        <v>16</v>
      </c>
      <c r="H160" s="34" t="s">
        <v>201</v>
      </c>
      <c r="I160" s="28" t="s">
        <v>19</v>
      </c>
      <c r="J160" s="28" t="s">
        <v>329</v>
      </c>
      <c r="K160" s="122" t="s">
        <v>2764</v>
      </c>
      <c r="L160" s="344" t="s">
        <v>2034</v>
      </c>
      <c r="M160" s="25"/>
      <c r="N160" s="2">
        <v>4860</v>
      </c>
      <c r="P160" s="3">
        <v>32714</v>
      </c>
      <c r="U160" s="3" t="s">
        <v>1582</v>
      </c>
    </row>
    <row r="161" spans="1:20" ht="209.25" customHeight="1">
      <c r="A161" s="13">
        <v>102</v>
      </c>
      <c r="B161" s="11" t="s">
        <v>3301</v>
      </c>
      <c r="C161" s="11" t="s">
        <v>3302</v>
      </c>
      <c r="D161" s="343" t="s">
        <v>3303</v>
      </c>
      <c r="E161" s="12">
        <v>4</v>
      </c>
      <c r="F161" s="12">
        <v>3</v>
      </c>
      <c r="G161" s="12" t="s">
        <v>16</v>
      </c>
      <c r="H161" s="34" t="s">
        <v>201</v>
      </c>
      <c r="I161" s="28" t="s">
        <v>19</v>
      </c>
      <c r="J161" s="30" t="s">
        <v>330</v>
      </c>
      <c r="K161" s="363" t="s">
        <v>3285</v>
      </c>
      <c r="L161" s="363" t="s">
        <v>3295</v>
      </c>
      <c r="M161" s="363" t="s">
        <v>3295</v>
      </c>
      <c r="N161" s="2">
        <v>4860</v>
      </c>
      <c r="O161" s="3" t="s">
        <v>175</v>
      </c>
      <c r="P161" s="3">
        <v>32714</v>
      </c>
    </row>
    <row r="162" spans="1:20" ht="234" customHeight="1">
      <c r="A162" s="13"/>
      <c r="B162" s="62" t="s">
        <v>1205</v>
      </c>
      <c r="C162" s="93" t="s">
        <v>331</v>
      </c>
      <c r="D162" s="111" t="s">
        <v>332</v>
      </c>
      <c r="E162" s="12"/>
      <c r="F162" s="12">
        <v>3</v>
      </c>
      <c r="G162" s="12" t="s">
        <v>16</v>
      </c>
      <c r="H162" s="34" t="s">
        <v>1707</v>
      </c>
      <c r="I162" s="88" t="s">
        <v>1469</v>
      </c>
      <c r="J162" s="28" t="s">
        <v>333</v>
      </c>
      <c r="K162" s="14">
        <v>44655</v>
      </c>
      <c r="L162" s="19" t="s">
        <v>21</v>
      </c>
      <c r="M162" s="20"/>
      <c r="N162" s="2">
        <v>4860</v>
      </c>
      <c r="P162" s="3">
        <v>32192</v>
      </c>
    </row>
    <row r="163" spans="1:20" ht="409.15" customHeight="1">
      <c r="A163" s="13"/>
      <c r="B163" s="62" t="s">
        <v>3137</v>
      </c>
      <c r="C163" s="62" t="s">
        <v>3417</v>
      </c>
      <c r="D163" s="62" t="s">
        <v>2012</v>
      </c>
      <c r="E163" s="12"/>
      <c r="F163" s="12">
        <v>3</v>
      </c>
      <c r="G163" s="12" t="s">
        <v>16</v>
      </c>
      <c r="H163" s="34" t="s">
        <v>201</v>
      </c>
      <c r="I163" s="28" t="s">
        <v>19</v>
      </c>
      <c r="J163" s="28" t="s">
        <v>334</v>
      </c>
      <c r="K163" s="18" t="s">
        <v>2010</v>
      </c>
      <c r="L163" s="19" t="s">
        <v>1871</v>
      </c>
      <c r="M163" s="20"/>
      <c r="N163" s="2" t="s">
        <v>2919</v>
      </c>
      <c r="P163" s="3">
        <v>32785</v>
      </c>
      <c r="R163" s="12">
        <v>4</v>
      </c>
      <c r="S163" s="14">
        <v>44510</v>
      </c>
      <c r="T163" s="19" t="s">
        <v>62</v>
      </c>
    </row>
    <row r="164" spans="1:20" ht="150" customHeight="1">
      <c r="A164" s="13">
        <v>103</v>
      </c>
      <c r="B164" s="11" t="s">
        <v>3075</v>
      </c>
      <c r="C164" s="10" t="s">
        <v>3076</v>
      </c>
      <c r="D164" s="32" t="s">
        <v>3077</v>
      </c>
      <c r="E164" s="12">
        <v>4</v>
      </c>
      <c r="F164" s="12">
        <v>3</v>
      </c>
      <c r="G164" s="12" t="s">
        <v>16</v>
      </c>
      <c r="H164" s="34" t="s">
        <v>18</v>
      </c>
      <c r="I164" s="28" t="s">
        <v>3078</v>
      </c>
      <c r="J164" s="30" t="s">
        <v>335</v>
      </c>
      <c r="K164" s="18" t="s">
        <v>3074</v>
      </c>
      <c r="L164" s="20" t="s">
        <v>2845</v>
      </c>
      <c r="M164" s="20" t="s">
        <v>1543</v>
      </c>
      <c r="N164" s="2">
        <v>32785</v>
      </c>
      <c r="P164" s="3">
        <v>32785</v>
      </c>
      <c r="Q164" s="2">
        <v>32785</v>
      </c>
      <c r="R164" s="12">
        <v>4</v>
      </c>
    </row>
    <row r="165" spans="1:20" ht="165" customHeight="1">
      <c r="A165" s="13">
        <v>104</v>
      </c>
      <c r="B165" s="11" t="s">
        <v>1206</v>
      </c>
      <c r="C165" s="10" t="s">
        <v>336</v>
      </c>
      <c r="D165" s="32" t="s">
        <v>1068</v>
      </c>
      <c r="E165" s="12"/>
      <c r="F165" s="12">
        <v>3</v>
      </c>
      <c r="G165" s="12" t="s">
        <v>16</v>
      </c>
      <c r="H165" s="34" t="s">
        <v>124</v>
      </c>
      <c r="I165" s="17" t="s">
        <v>19</v>
      </c>
      <c r="J165" s="26" t="s">
        <v>337</v>
      </c>
      <c r="K165" s="18" t="s">
        <v>1693</v>
      </c>
      <c r="L165" s="25" t="s">
        <v>1676</v>
      </c>
      <c r="M165" s="25"/>
      <c r="N165" s="2">
        <v>4860</v>
      </c>
      <c r="O165" s="3" t="s">
        <v>175</v>
      </c>
      <c r="P165" s="3">
        <v>32714</v>
      </c>
      <c r="R165" s="12" t="s">
        <v>3143</v>
      </c>
    </row>
    <row r="166" spans="1:20" ht="193.5" customHeight="1">
      <c r="A166" s="13">
        <v>105</v>
      </c>
      <c r="B166" s="11" t="s">
        <v>1207</v>
      </c>
      <c r="C166" s="10" t="s">
        <v>338</v>
      </c>
      <c r="D166" s="32" t="s">
        <v>2240</v>
      </c>
      <c r="E166" s="12"/>
      <c r="F166" s="12">
        <v>3</v>
      </c>
      <c r="G166" s="37" t="s">
        <v>339</v>
      </c>
      <c r="H166" s="112" t="s">
        <v>18</v>
      </c>
      <c r="I166" s="24" t="s">
        <v>1469</v>
      </c>
      <c r="J166" s="64" t="s">
        <v>340</v>
      </c>
      <c r="K166" s="18" t="s">
        <v>1727</v>
      </c>
      <c r="L166" s="25" t="s">
        <v>1728</v>
      </c>
      <c r="M166" s="25"/>
      <c r="N166" s="2">
        <v>4860</v>
      </c>
      <c r="O166" s="3" t="s">
        <v>175</v>
      </c>
      <c r="P166" s="3">
        <v>32714</v>
      </c>
      <c r="R166" s="12" t="s">
        <v>3143</v>
      </c>
    </row>
    <row r="167" spans="1:20" ht="159.75" customHeight="1">
      <c r="A167" s="13">
        <v>107</v>
      </c>
      <c r="B167" s="11" t="s">
        <v>1873</v>
      </c>
      <c r="C167" s="10" t="s">
        <v>1874</v>
      </c>
      <c r="D167" s="31" t="s">
        <v>1044</v>
      </c>
      <c r="E167" s="9"/>
      <c r="F167" s="9">
        <v>3</v>
      </c>
      <c r="G167" s="12" t="s">
        <v>16</v>
      </c>
      <c r="H167" s="34" t="s">
        <v>18</v>
      </c>
      <c r="I167" s="24" t="s">
        <v>1465</v>
      </c>
      <c r="J167" s="26" t="s">
        <v>341</v>
      </c>
      <c r="K167" s="18" t="s">
        <v>1872</v>
      </c>
      <c r="L167" s="25"/>
      <c r="M167" s="25" t="s">
        <v>1625</v>
      </c>
      <c r="N167" s="2">
        <v>32785</v>
      </c>
      <c r="P167" s="2">
        <v>32785</v>
      </c>
      <c r="R167" s="3" t="s">
        <v>2812</v>
      </c>
    </row>
    <row r="168" spans="1:20" ht="216.75" customHeight="1">
      <c r="A168" s="13"/>
      <c r="B168" s="11" t="s">
        <v>1208</v>
      </c>
      <c r="C168" s="93" t="s">
        <v>2207</v>
      </c>
      <c r="D168" s="32" t="s">
        <v>1065</v>
      </c>
      <c r="E168" s="9"/>
      <c r="F168" s="9">
        <v>3</v>
      </c>
      <c r="G168" s="12" t="s">
        <v>16</v>
      </c>
      <c r="H168" s="9" t="s">
        <v>43</v>
      </c>
      <c r="I168" s="17" t="s">
        <v>19</v>
      </c>
      <c r="J168" s="26" t="s">
        <v>344</v>
      </c>
      <c r="K168" s="18" t="s">
        <v>162</v>
      </c>
      <c r="L168" s="19"/>
      <c r="M168" s="19" t="s">
        <v>1641</v>
      </c>
      <c r="N168" s="2">
        <v>32714</v>
      </c>
      <c r="P168" s="2">
        <v>32192</v>
      </c>
      <c r="R168" s="9" t="s">
        <v>3143</v>
      </c>
    </row>
    <row r="169" spans="1:20" ht="358.5" customHeight="1">
      <c r="A169" s="13"/>
      <c r="B169" s="11" t="s">
        <v>2388</v>
      </c>
      <c r="C169" s="93" t="s">
        <v>2389</v>
      </c>
      <c r="D169" s="32" t="s">
        <v>2390</v>
      </c>
      <c r="E169" s="9"/>
      <c r="F169" s="9">
        <v>3</v>
      </c>
      <c r="G169" s="12" t="s">
        <v>16</v>
      </c>
      <c r="H169" s="9" t="s">
        <v>43</v>
      </c>
      <c r="I169" s="10" t="s">
        <v>1787</v>
      </c>
      <c r="J169" s="14" t="s">
        <v>345</v>
      </c>
      <c r="K169" s="18" t="s">
        <v>2391</v>
      </c>
      <c r="L169" s="25" t="s">
        <v>2373</v>
      </c>
      <c r="M169" s="25" t="s">
        <v>2373</v>
      </c>
      <c r="N169" s="2">
        <v>32714</v>
      </c>
      <c r="P169" s="3">
        <v>32192</v>
      </c>
      <c r="R169" s="9" t="s">
        <v>3143</v>
      </c>
    </row>
    <row r="170" spans="1:20" ht="409.5">
      <c r="A170" s="13"/>
      <c r="B170" s="11" t="s">
        <v>1648</v>
      </c>
      <c r="C170" s="10" t="s">
        <v>2623</v>
      </c>
      <c r="D170" s="11" t="s">
        <v>2624</v>
      </c>
      <c r="E170" s="9">
        <v>4</v>
      </c>
      <c r="F170" s="9">
        <v>3</v>
      </c>
      <c r="G170" s="12" t="s">
        <v>16</v>
      </c>
      <c r="H170" s="9" t="s">
        <v>343</v>
      </c>
      <c r="I170" s="17" t="s">
        <v>19</v>
      </c>
      <c r="J170" s="113"/>
      <c r="K170" s="18" t="s">
        <v>2617</v>
      </c>
      <c r="L170" s="20" t="s">
        <v>2558</v>
      </c>
      <c r="M170" s="20"/>
      <c r="N170" s="2">
        <v>32785</v>
      </c>
      <c r="P170" s="2">
        <v>32785</v>
      </c>
    </row>
    <row r="171" spans="1:20" ht="409.5">
      <c r="A171" s="13"/>
      <c r="B171" s="11" t="s">
        <v>1398</v>
      </c>
      <c r="C171" s="93" t="s">
        <v>2171</v>
      </c>
      <c r="D171" s="11" t="s">
        <v>1058</v>
      </c>
      <c r="E171" s="9"/>
      <c r="F171" s="9">
        <v>3</v>
      </c>
      <c r="G171" s="12" t="s">
        <v>16</v>
      </c>
      <c r="H171" s="28" t="s">
        <v>96</v>
      </c>
      <c r="I171" s="17" t="s">
        <v>19</v>
      </c>
      <c r="J171" s="113"/>
      <c r="K171" s="18" t="s">
        <v>2172</v>
      </c>
      <c r="L171" s="20" t="s">
        <v>1557</v>
      </c>
      <c r="M171" s="20" t="s">
        <v>1557</v>
      </c>
      <c r="N171" s="2">
        <v>32785</v>
      </c>
      <c r="P171" s="2">
        <v>32785</v>
      </c>
      <c r="R171" s="9" t="s">
        <v>3207</v>
      </c>
    </row>
    <row r="172" spans="1:20" ht="268.5" customHeight="1">
      <c r="A172" s="13"/>
      <c r="B172" s="11" t="s">
        <v>2388</v>
      </c>
      <c r="C172" s="93" t="s">
        <v>1788</v>
      </c>
      <c r="D172" s="32" t="s">
        <v>2390</v>
      </c>
      <c r="E172" s="9"/>
      <c r="F172" s="9">
        <v>3</v>
      </c>
      <c r="G172" s="12" t="s">
        <v>16</v>
      </c>
      <c r="H172" s="9" t="s">
        <v>43</v>
      </c>
      <c r="I172" s="10" t="s">
        <v>1787</v>
      </c>
      <c r="J172" s="14" t="s">
        <v>345</v>
      </c>
      <c r="K172" s="18" t="s">
        <v>2391</v>
      </c>
      <c r="L172" s="25" t="s">
        <v>2373</v>
      </c>
      <c r="M172" s="25" t="s">
        <v>2373</v>
      </c>
      <c r="N172" s="2">
        <v>32192</v>
      </c>
      <c r="P172" s="3">
        <v>32192</v>
      </c>
      <c r="R172" s="9">
        <v>4</v>
      </c>
    </row>
    <row r="173" spans="1:20" ht="281.25">
      <c r="A173" s="13">
        <v>109</v>
      </c>
      <c r="B173" s="11" t="s">
        <v>2456</v>
      </c>
      <c r="C173" s="93" t="s">
        <v>2457</v>
      </c>
      <c r="D173" s="32" t="s">
        <v>2458</v>
      </c>
      <c r="E173" s="9"/>
      <c r="F173" s="9">
        <v>3</v>
      </c>
      <c r="G173" s="12" t="s">
        <v>16</v>
      </c>
      <c r="H173" s="9" t="s">
        <v>18</v>
      </c>
      <c r="I173" s="17" t="s">
        <v>19</v>
      </c>
      <c r="J173" s="30" t="s">
        <v>342</v>
      </c>
      <c r="K173" s="18" t="s">
        <v>2453</v>
      </c>
      <c r="L173" s="25" t="s">
        <v>2459</v>
      </c>
      <c r="M173" s="25" t="s">
        <v>1024</v>
      </c>
      <c r="N173" s="2">
        <v>32714</v>
      </c>
      <c r="P173" s="2">
        <v>32192</v>
      </c>
      <c r="R173" s="3" t="s">
        <v>3167</v>
      </c>
    </row>
    <row r="174" spans="1:20" ht="409.5" customHeight="1">
      <c r="A174" s="13"/>
      <c r="B174" s="11" t="s">
        <v>1209</v>
      </c>
      <c r="C174" s="107" t="s">
        <v>2665</v>
      </c>
      <c r="D174" s="32" t="s">
        <v>346</v>
      </c>
      <c r="E174" s="9"/>
      <c r="F174" s="9">
        <v>3</v>
      </c>
      <c r="G174" s="12" t="s">
        <v>16</v>
      </c>
      <c r="H174" s="9" t="s">
        <v>18</v>
      </c>
      <c r="I174" s="17" t="s">
        <v>19</v>
      </c>
      <c r="J174" s="26"/>
      <c r="K174" s="18" t="s">
        <v>1682</v>
      </c>
      <c r="L174" s="20"/>
      <c r="M174" s="20" t="s">
        <v>1634</v>
      </c>
      <c r="N174" s="2">
        <v>32785</v>
      </c>
      <c r="P174" s="2">
        <v>30896</v>
      </c>
      <c r="R174" s="9" t="s">
        <v>2983</v>
      </c>
    </row>
    <row r="175" spans="1:20" ht="139.5" customHeight="1">
      <c r="A175" s="13"/>
      <c r="B175" s="11" t="s">
        <v>347</v>
      </c>
      <c r="C175" s="10" t="s">
        <v>2424</v>
      </c>
      <c r="D175" s="32" t="s">
        <v>2425</v>
      </c>
      <c r="E175" s="9"/>
      <c r="F175" s="9">
        <v>3</v>
      </c>
      <c r="G175" s="37" t="s">
        <v>348</v>
      </c>
      <c r="H175" s="9" t="s">
        <v>18</v>
      </c>
      <c r="I175" s="24" t="s">
        <v>2426</v>
      </c>
      <c r="J175" s="64">
        <v>6503543532</v>
      </c>
      <c r="K175" s="18" t="s">
        <v>2418</v>
      </c>
      <c r="L175" s="19"/>
      <c r="M175" s="20" t="s">
        <v>305</v>
      </c>
      <c r="N175" s="2">
        <v>32785</v>
      </c>
      <c r="P175" s="2">
        <v>30896</v>
      </c>
      <c r="R175" s="9">
        <v>4</v>
      </c>
    </row>
    <row r="176" spans="1:20" ht="279" customHeight="1">
      <c r="A176" s="13">
        <v>110</v>
      </c>
      <c r="B176" s="11" t="s">
        <v>1210</v>
      </c>
      <c r="C176" s="10" t="s">
        <v>2920</v>
      </c>
      <c r="D176" s="11" t="s">
        <v>2921</v>
      </c>
      <c r="E176" s="13"/>
      <c r="F176" s="13"/>
      <c r="G176" s="37" t="s">
        <v>349</v>
      </c>
      <c r="H176" s="9" t="s">
        <v>350</v>
      </c>
      <c r="I176" s="17" t="s">
        <v>571</v>
      </c>
      <c r="J176" s="30" t="s">
        <v>342</v>
      </c>
      <c r="K176" s="18" t="s">
        <v>2913</v>
      </c>
      <c r="L176" s="20" t="s">
        <v>2887</v>
      </c>
      <c r="M176" s="20" t="s">
        <v>2887</v>
      </c>
      <c r="N176" s="2">
        <v>32714</v>
      </c>
      <c r="R176" s="13">
        <v>4</v>
      </c>
    </row>
    <row r="177" spans="1:21" ht="393.75">
      <c r="A177" s="13"/>
      <c r="B177" s="62" t="s">
        <v>1211</v>
      </c>
      <c r="C177" s="93" t="s">
        <v>352</v>
      </c>
      <c r="D177" s="11" t="s">
        <v>1128</v>
      </c>
      <c r="E177" s="12"/>
      <c r="F177" s="12">
        <v>3</v>
      </c>
      <c r="G177" s="12" t="s">
        <v>16</v>
      </c>
      <c r="H177" s="9" t="s">
        <v>43</v>
      </c>
      <c r="I177" s="24" t="s">
        <v>1468</v>
      </c>
      <c r="J177" s="26" t="s">
        <v>353</v>
      </c>
      <c r="K177" s="18" t="s">
        <v>1905</v>
      </c>
      <c r="L177" s="20" t="s">
        <v>1906</v>
      </c>
      <c r="M177" s="20" t="s">
        <v>1906</v>
      </c>
      <c r="N177" s="2">
        <v>32785</v>
      </c>
      <c r="P177" s="2">
        <v>32785</v>
      </c>
      <c r="R177" s="12">
        <v>4</v>
      </c>
    </row>
    <row r="178" spans="1:21" ht="193.5" customHeight="1">
      <c r="A178" s="13">
        <v>111</v>
      </c>
      <c r="B178" s="62" t="s">
        <v>1399</v>
      </c>
      <c r="C178" s="93" t="s">
        <v>1867</v>
      </c>
      <c r="D178" s="32" t="s">
        <v>1870</v>
      </c>
      <c r="E178" s="12"/>
      <c r="F178" s="12">
        <v>4</v>
      </c>
      <c r="G178" s="12" t="s">
        <v>16</v>
      </c>
      <c r="H178" s="9" t="s">
        <v>43</v>
      </c>
      <c r="I178" s="17" t="s">
        <v>19</v>
      </c>
      <c r="J178" s="30" t="s">
        <v>342</v>
      </c>
      <c r="K178" s="18" t="s">
        <v>1866</v>
      </c>
      <c r="L178" s="25" t="s">
        <v>1859</v>
      </c>
      <c r="M178" s="25" t="s">
        <v>1859</v>
      </c>
      <c r="N178" s="2">
        <v>8853</v>
      </c>
      <c r="O178" s="3" t="s">
        <v>175</v>
      </c>
      <c r="Q178" s="2">
        <v>9676</v>
      </c>
      <c r="R178" s="162" t="s">
        <v>3428</v>
      </c>
    </row>
    <row r="179" spans="1:21" ht="375">
      <c r="A179" s="13"/>
      <c r="B179" s="11" t="s">
        <v>3166</v>
      </c>
      <c r="C179" s="10" t="s">
        <v>3164</v>
      </c>
      <c r="D179" s="136" t="s">
        <v>3165</v>
      </c>
      <c r="E179" s="12"/>
      <c r="F179" s="12"/>
      <c r="G179" s="37" t="s">
        <v>355</v>
      </c>
      <c r="H179" s="9" t="s">
        <v>78</v>
      </c>
      <c r="I179" s="9" t="s">
        <v>571</v>
      </c>
      <c r="J179" s="64">
        <v>6503653425</v>
      </c>
      <c r="K179" s="18" t="s">
        <v>2934</v>
      </c>
      <c r="L179" s="25" t="s">
        <v>2897</v>
      </c>
      <c r="M179" s="25" t="s">
        <v>2897</v>
      </c>
      <c r="N179" s="39" t="s">
        <v>3327</v>
      </c>
      <c r="O179" s="2" t="s">
        <v>3476</v>
      </c>
      <c r="P179" s="2"/>
      <c r="R179" s="3" t="s">
        <v>3055</v>
      </c>
      <c r="U179" s="3">
        <v>0</v>
      </c>
    </row>
    <row r="180" spans="1:21" ht="375">
      <c r="A180" s="13"/>
      <c r="B180" s="11" t="s">
        <v>878</v>
      </c>
      <c r="C180" s="10" t="s">
        <v>2942</v>
      </c>
      <c r="D180" s="136" t="s">
        <v>3165</v>
      </c>
      <c r="E180" s="12"/>
      <c r="F180" s="12"/>
      <c r="G180" s="37"/>
      <c r="H180" s="9"/>
      <c r="I180" s="9" t="s">
        <v>571</v>
      </c>
      <c r="J180" s="64"/>
      <c r="K180" s="18" t="s">
        <v>2934</v>
      </c>
      <c r="L180" s="25" t="s">
        <v>2897</v>
      </c>
      <c r="M180" s="25" t="s">
        <v>2897</v>
      </c>
      <c r="N180" s="39" t="s">
        <v>3327</v>
      </c>
      <c r="O180" s="2"/>
      <c r="P180" s="2"/>
    </row>
    <row r="181" spans="1:21" ht="409.5">
      <c r="A181" s="13"/>
      <c r="B181" s="62" t="s">
        <v>2143</v>
      </c>
      <c r="C181" s="10" t="s">
        <v>2144</v>
      </c>
      <c r="D181" s="11" t="s">
        <v>2145</v>
      </c>
      <c r="E181" s="12"/>
      <c r="F181" s="12"/>
      <c r="G181" s="37"/>
      <c r="H181" s="9"/>
      <c r="I181" s="9" t="s">
        <v>571</v>
      </c>
      <c r="J181" s="64"/>
      <c r="K181" s="18" t="s">
        <v>2146</v>
      </c>
      <c r="L181" s="25" t="s">
        <v>2147</v>
      </c>
      <c r="M181" s="25"/>
      <c r="N181" s="2" t="s">
        <v>2090</v>
      </c>
    </row>
    <row r="182" spans="1:21" s="131" customFormat="1" ht="356.25">
      <c r="A182" s="234">
        <v>114</v>
      </c>
      <c r="B182" s="276" t="s">
        <v>1212</v>
      </c>
      <c r="C182" s="60" t="s">
        <v>356</v>
      </c>
      <c r="D182" s="235" t="s">
        <v>1630</v>
      </c>
      <c r="E182" s="244"/>
      <c r="F182" s="244">
        <v>3</v>
      </c>
      <c r="G182" s="244" t="s">
        <v>16</v>
      </c>
      <c r="H182" s="237" t="s">
        <v>892</v>
      </c>
      <c r="I182" s="60" t="s">
        <v>1975</v>
      </c>
      <c r="J182" s="277" t="s">
        <v>342</v>
      </c>
      <c r="K182" s="259" t="s">
        <v>1925</v>
      </c>
      <c r="L182" s="259" t="s">
        <v>1864</v>
      </c>
      <c r="M182" s="254"/>
      <c r="N182" s="255" t="s">
        <v>1673</v>
      </c>
      <c r="P182" s="255"/>
      <c r="R182" s="131" t="s">
        <v>2108</v>
      </c>
      <c r="T182" s="131" t="s">
        <v>1631</v>
      </c>
    </row>
    <row r="183" spans="1:21" ht="75">
      <c r="A183" s="13"/>
      <c r="B183" s="11" t="s">
        <v>1213</v>
      </c>
      <c r="C183" s="11" t="s">
        <v>358</v>
      </c>
      <c r="D183" s="11" t="s">
        <v>359</v>
      </c>
      <c r="E183" s="12"/>
      <c r="F183" s="12">
        <v>3</v>
      </c>
      <c r="G183" s="12" t="s">
        <v>16</v>
      </c>
      <c r="H183" s="9" t="s">
        <v>892</v>
      </c>
      <c r="I183" s="24" t="s">
        <v>1465</v>
      </c>
      <c r="J183" s="26" t="s">
        <v>360</v>
      </c>
      <c r="K183" s="18" t="s">
        <v>151</v>
      </c>
      <c r="L183" s="25" t="s">
        <v>152</v>
      </c>
      <c r="M183" s="25"/>
      <c r="N183" s="2">
        <v>4860</v>
      </c>
      <c r="R183" s="3" t="s">
        <v>1008</v>
      </c>
    </row>
    <row r="184" spans="1:21" ht="375">
      <c r="A184" s="13">
        <v>116</v>
      </c>
      <c r="B184" s="62" t="s">
        <v>1214</v>
      </c>
      <c r="C184" s="10" t="s">
        <v>361</v>
      </c>
      <c r="D184" s="11" t="s">
        <v>2038</v>
      </c>
      <c r="E184" s="12"/>
      <c r="F184" s="12">
        <v>2</v>
      </c>
      <c r="G184" s="12" t="s">
        <v>16</v>
      </c>
      <c r="H184" s="9" t="s">
        <v>204</v>
      </c>
      <c r="I184" s="17" t="s">
        <v>19</v>
      </c>
      <c r="J184" s="30" t="s">
        <v>342</v>
      </c>
      <c r="K184" s="76" t="s">
        <v>2036</v>
      </c>
      <c r="L184" s="20" t="s">
        <v>1864</v>
      </c>
      <c r="M184" s="20"/>
      <c r="N184" s="2">
        <v>32192</v>
      </c>
      <c r="O184" s="3">
        <v>9676</v>
      </c>
      <c r="R184" s="3" t="s">
        <v>3241</v>
      </c>
    </row>
    <row r="185" spans="1:21" ht="152.25" customHeight="1">
      <c r="A185" s="13"/>
      <c r="B185" s="62" t="s">
        <v>1215</v>
      </c>
      <c r="C185" s="10" t="s">
        <v>362</v>
      </c>
      <c r="D185" s="11" t="s">
        <v>363</v>
      </c>
      <c r="E185" s="12"/>
      <c r="F185" s="12">
        <v>3</v>
      </c>
      <c r="G185" s="12" t="s">
        <v>16</v>
      </c>
      <c r="H185" s="9" t="s">
        <v>254</v>
      </c>
      <c r="I185" s="24" t="s">
        <v>1470</v>
      </c>
      <c r="J185" s="30" t="s">
        <v>342</v>
      </c>
      <c r="K185" s="116" t="s">
        <v>1408</v>
      </c>
      <c r="L185" s="19" t="s">
        <v>80</v>
      </c>
      <c r="M185" s="20"/>
      <c r="N185" s="2">
        <v>32714</v>
      </c>
      <c r="P185" s="2">
        <v>32192</v>
      </c>
      <c r="R185" s="3" t="s">
        <v>1811</v>
      </c>
    </row>
    <row r="186" spans="1:21" ht="154.5" customHeight="1">
      <c r="A186" s="13">
        <v>118</v>
      </c>
      <c r="B186" s="10" t="s">
        <v>1782</v>
      </c>
      <c r="C186" s="10" t="s">
        <v>364</v>
      </c>
      <c r="D186" s="11" t="s">
        <v>1066</v>
      </c>
      <c r="E186" s="9"/>
      <c r="F186" s="9">
        <v>3</v>
      </c>
      <c r="G186" s="12" t="s">
        <v>16</v>
      </c>
      <c r="H186" s="112" t="s">
        <v>201</v>
      </c>
      <c r="I186" s="17" t="s">
        <v>19</v>
      </c>
      <c r="J186" s="30" t="s">
        <v>342</v>
      </c>
      <c r="K186" s="18" t="s">
        <v>1780</v>
      </c>
      <c r="L186" s="19" t="s">
        <v>1784</v>
      </c>
      <c r="M186" s="19" t="s">
        <v>1784</v>
      </c>
      <c r="N186" s="2">
        <v>32714</v>
      </c>
      <c r="P186" s="2">
        <v>32192</v>
      </c>
      <c r="R186" s="3" t="s">
        <v>3173</v>
      </c>
    </row>
    <row r="187" spans="1:21" ht="327" customHeight="1">
      <c r="A187" s="13">
        <v>120</v>
      </c>
      <c r="B187" s="11" t="s">
        <v>3118</v>
      </c>
      <c r="C187" s="10" t="s">
        <v>3119</v>
      </c>
      <c r="D187" s="32" t="s">
        <v>3120</v>
      </c>
      <c r="E187" s="12"/>
      <c r="F187" s="12">
        <v>3</v>
      </c>
      <c r="G187" s="12" t="s">
        <v>16</v>
      </c>
      <c r="H187" s="34" t="s">
        <v>365</v>
      </c>
      <c r="I187" s="24" t="s">
        <v>3121</v>
      </c>
      <c r="J187" s="30" t="s">
        <v>342</v>
      </c>
      <c r="K187" s="18" t="s">
        <v>3122</v>
      </c>
      <c r="L187" s="20"/>
      <c r="M187" s="20" t="s">
        <v>3103</v>
      </c>
      <c r="N187" s="2">
        <v>32714</v>
      </c>
      <c r="P187" s="2">
        <v>32192</v>
      </c>
      <c r="R187" s="12" t="s">
        <v>3143</v>
      </c>
    </row>
    <row r="188" spans="1:21" ht="162" customHeight="1">
      <c r="A188" s="13"/>
      <c r="B188" s="11" t="s">
        <v>1216</v>
      </c>
      <c r="C188" s="10" t="s">
        <v>2211</v>
      </c>
      <c r="D188" s="32" t="s">
        <v>1096</v>
      </c>
      <c r="E188" s="12"/>
      <c r="F188" s="12">
        <v>3</v>
      </c>
      <c r="G188" s="37" t="s">
        <v>366</v>
      </c>
      <c r="H188" s="9" t="s">
        <v>367</v>
      </c>
      <c r="I188" s="17" t="s">
        <v>19</v>
      </c>
      <c r="J188" s="117">
        <v>6503641733</v>
      </c>
      <c r="K188" s="18" t="s">
        <v>1093</v>
      </c>
      <c r="L188" s="20"/>
      <c r="M188" s="20" t="s">
        <v>305</v>
      </c>
      <c r="N188" s="3">
        <v>32714</v>
      </c>
      <c r="P188" s="3">
        <v>32714</v>
      </c>
      <c r="R188" s="162" t="s">
        <v>485</v>
      </c>
      <c r="S188" s="3" t="s">
        <v>1549</v>
      </c>
    </row>
    <row r="189" spans="1:21" ht="162" customHeight="1">
      <c r="A189" s="13"/>
      <c r="B189" s="11" t="s">
        <v>1216</v>
      </c>
      <c r="C189" s="10" t="s">
        <v>2478</v>
      </c>
      <c r="D189" s="32" t="s">
        <v>2479</v>
      </c>
      <c r="E189" s="12">
        <v>4</v>
      </c>
      <c r="F189" s="12">
        <v>3</v>
      </c>
      <c r="G189" s="37"/>
      <c r="H189" s="9"/>
      <c r="I189" s="17" t="s">
        <v>19</v>
      </c>
      <c r="J189" s="117"/>
      <c r="K189" s="18" t="s">
        <v>2477</v>
      </c>
      <c r="L189" s="20" t="s">
        <v>1074</v>
      </c>
      <c r="M189" s="20" t="s">
        <v>1074</v>
      </c>
      <c r="N189" s="3"/>
      <c r="P189" s="3">
        <v>32714</v>
      </c>
    </row>
    <row r="190" spans="1:21" ht="279" customHeight="1">
      <c r="A190" s="13"/>
      <c r="B190" s="11" t="s">
        <v>1217</v>
      </c>
      <c r="C190" s="10" t="s">
        <v>2737</v>
      </c>
      <c r="D190" s="350" t="s">
        <v>2738</v>
      </c>
      <c r="E190" s="12">
        <v>4</v>
      </c>
      <c r="F190" s="13">
        <v>3</v>
      </c>
      <c r="G190" s="12"/>
      <c r="H190" s="9"/>
      <c r="I190" s="24" t="s">
        <v>1468</v>
      </c>
      <c r="J190" s="64"/>
      <c r="K190" s="122" t="s">
        <v>2849</v>
      </c>
      <c r="L190" s="20" t="s">
        <v>1689</v>
      </c>
      <c r="M190" s="20" t="s">
        <v>1689</v>
      </c>
      <c r="P190" s="2">
        <v>32785</v>
      </c>
    </row>
    <row r="191" spans="1:21" ht="187.5">
      <c r="A191" s="13"/>
      <c r="B191" s="11" t="s">
        <v>368</v>
      </c>
      <c r="C191" s="10" t="s">
        <v>369</v>
      </c>
      <c r="D191" s="32" t="s">
        <v>976</v>
      </c>
      <c r="E191" s="12"/>
      <c r="F191" s="12">
        <v>3</v>
      </c>
      <c r="G191" s="12" t="s">
        <v>16</v>
      </c>
      <c r="H191" s="9" t="s">
        <v>78</v>
      </c>
      <c r="I191" s="75" t="s">
        <v>370</v>
      </c>
      <c r="J191" s="89" t="s">
        <v>371</v>
      </c>
      <c r="K191" s="18" t="s">
        <v>975</v>
      </c>
      <c r="L191" s="45" t="s">
        <v>163</v>
      </c>
      <c r="M191" s="25" t="s">
        <v>92</v>
      </c>
      <c r="N191" s="2">
        <v>32785</v>
      </c>
      <c r="P191" s="3">
        <v>32785</v>
      </c>
      <c r="S191" s="3" t="s">
        <v>1653</v>
      </c>
    </row>
    <row r="192" spans="1:21" ht="179.25" customHeight="1">
      <c r="A192" s="13">
        <v>121</v>
      </c>
      <c r="B192" s="11" t="s">
        <v>3041</v>
      </c>
      <c r="C192" s="10" t="s">
        <v>3042</v>
      </c>
      <c r="D192" s="11" t="s">
        <v>3043</v>
      </c>
      <c r="E192" s="13">
        <v>4</v>
      </c>
      <c r="F192" s="13">
        <v>3</v>
      </c>
      <c r="G192" s="12" t="s">
        <v>16</v>
      </c>
      <c r="H192" s="9" t="s">
        <v>78</v>
      </c>
      <c r="I192" s="17" t="s">
        <v>19</v>
      </c>
      <c r="J192" s="30" t="s">
        <v>372</v>
      </c>
      <c r="K192" s="18" t="s">
        <v>3030</v>
      </c>
      <c r="L192" s="25"/>
      <c r="M192" s="25" t="s">
        <v>2887</v>
      </c>
      <c r="N192" s="2">
        <v>32714</v>
      </c>
      <c r="P192" s="2">
        <v>32192</v>
      </c>
      <c r="R192" s="13" t="s">
        <v>3140</v>
      </c>
    </row>
    <row r="193" spans="1:18" ht="188.25" customHeight="1">
      <c r="A193" s="13">
        <v>122</v>
      </c>
      <c r="B193" s="62" t="s">
        <v>1218</v>
      </c>
      <c r="C193" s="93" t="s">
        <v>373</v>
      </c>
      <c r="D193" s="11" t="s">
        <v>374</v>
      </c>
      <c r="E193" s="13"/>
      <c r="F193" s="9">
        <v>1</v>
      </c>
      <c r="G193" s="12" t="s">
        <v>16</v>
      </c>
      <c r="H193" s="9" t="s">
        <v>43</v>
      </c>
      <c r="I193" s="10" t="s">
        <v>375</v>
      </c>
      <c r="J193" s="30" t="s">
        <v>342</v>
      </c>
      <c r="K193" s="14">
        <v>44222</v>
      </c>
      <c r="L193" s="97" t="s">
        <v>185</v>
      </c>
      <c r="M193" s="98"/>
      <c r="N193" s="2">
        <v>4860</v>
      </c>
      <c r="O193" s="3" t="s">
        <v>896</v>
      </c>
    </row>
    <row r="194" spans="1:18" ht="188.25" customHeight="1">
      <c r="A194" s="13"/>
      <c r="B194" s="62" t="s">
        <v>1219</v>
      </c>
      <c r="C194" s="93" t="s">
        <v>376</v>
      </c>
      <c r="D194" s="11" t="s">
        <v>377</v>
      </c>
      <c r="E194" s="13"/>
      <c r="F194" s="9">
        <v>3</v>
      </c>
      <c r="G194" s="12" t="s">
        <v>16</v>
      </c>
      <c r="H194" s="9" t="s">
        <v>378</v>
      </c>
      <c r="I194" s="17" t="s">
        <v>19</v>
      </c>
      <c r="J194" s="26" t="s">
        <v>379</v>
      </c>
      <c r="K194" s="14">
        <v>44809</v>
      </c>
      <c r="L194" s="97" t="s">
        <v>25</v>
      </c>
      <c r="M194" s="98"/>
      <c r="N194" s="2">
        <v>4860</v>
      </c>
      <c r="O194" s="3" t="s">
        <v>895</v>
      </c>
    </row>
    <row r="195" spans="1:18" ht="300">
      <c r="A195" s="13"/>
      <c r="B195" s="62" t="s">
        <v>380</v>
      </c>
      <c r="C195" s="93" t="s">
        <v>2486</v>
      </c>
      <c r="D195" s="11" t="s">
        <v>2487</v>
      </c>
      <c r="E195" s="13"/>
      <c r="F195" s="9">
        <v>3</v>
      </c>
      <c r="G195" s="12" t="s">
        <v>16</v>
      </c>
      <c r="H195" s="9" t="s">
        <v>96</v>
      </c>
      <c r="I195" s="75" t="s">
        <v>381</v>
      </c>
      <c r="J195" s="26"/>
      <c r="K195" s="14">
        <v>44748</v>
      </c>
      <c r="L195" s="25" t="s">
        <v>2379</v>
      </c>
      <c r="M195" s="25" t="s">
        <v>2379</v>
      </c>
      <c r="N195" s="2">
        <v>32714</v>
      </c>
      <c r="P195" s="2">
        <v>32192</v>
      </c>
      <c r="R195" s="3" t="s">
        <v>3346</v>
      </c>
    </row>
    <row r="196" spans="1:18" ht="337.5">
      <c r="A196" s="13"/>
      <c r="B196" s="62" t="s">
        <v>1220</v>
      </c>
      <c r="C196" s="93" t="s">
        <v>383</v>
      </c>
      <c r="D196" s="11" t="s">
        <v>1071</v>
      </c>
      <c r="E196" s="13"/>
      <c r="F196" s="9">
        <v>3</v>
      </c>
      <c r="G196" s="12" t="s">
        <v>16</v>
      </c>
      <c r="H196" s="9" t="s">
        <v>78</v>
      </c>
      <c r="I196" s="75" t="s">
        <v>384</v>
      </c>
      <c r="J196" s="26" t="s">
        <v>385</v>
      </c>
      <c r="K196" s="14">
        <v>44359</v>
      </c>
      <c r="L196" s="25" t="s">
        <v>386</v>
      </c>
      <c r="M196" s="25"/>
      <c r="N196" s="2">
        <v>4860</v>
      </c>
      <c r="P196" s="3">
        <v>32714</v>
      </c>
    </row>
    <row r="197" spans="1:18" ht="300.75" customHeight="1">
      <c r="A197" s="13"/>
      <c r="B197" s="62" t="s">
        <v>1221</v>
      </c>
      <c r="C197" s="93" t="s">
        <v>2874</v>
      </c>
      <c r="D197" s="11" t="s">
        <v>2875</v>
      </c>
      <c r="E197" s="13">
        <v>4</v>
      </c>
      <c r="F197" s="9">
        <v>3</v>
      </c>
      <c r="G197" s="12" t="s">
        <v>16</v>
      </c>
      <c r="H197" s="9" t="s">
        <v>78</v>
      </c>
      <c r="I197" s="17" t="s">
        <v>19</v>
      </c>
      <c r="J197" s="26" t="s">
        <v>387</v>
      </c>
      <c r="K197" s="18" t="s">
        <v>2869</v>
      </c>
      <c r="L197" s="97"/>
      <c r="M197" s="97" t="s">
        <v>2595</v>
      </c>
      <c r="N197" s="2">
        <v>32714</v>
      </c>
      <c r="P197" s="2">
        <v>32192</v>
      </c>
      <c r="R197" s="13">
        <v>4</v>
      </c>
    </row>
    <row r="198" spans="1:18" ht="354.75" customHeight="1">
      <c r="A198" s="13"/>
      <c r="B198" s="10" t="s">
        <v>2325</v>
      </c>
      <c r="C198" s="11" t="s">
        <v>388</v>
      </c>
      <c r="D198" s="31" t="s">
        <v>389</v>
      </c>
      <c r="E198" s="9"/>
      <c r="F198" s="9">
        <v>4</v>
      </c>
      <c r="G198" s="9" t="s">
        <v>390</v>
      </c>
      <c r="H198" s="118" t="s">
        <v>96</v>
      </c>
      <c r="I198" s="17" t="s">
        <v>19</v>
      </c>
      <c r="J198" s="49" t="s">
        <v>391</v>
      </c>
      <c r="K198" s="122" t="s">
        <v>1626</v>
      </c>
      <c r="L198" s="20"/>
      <c r="M198" s="20" t="s">
        <v>1543</v>
      </c>
      <c r="N198" s="2">
        <v>32714</v>
      </c>
      <c r="P198" s="2">
        <v>32714</v>
      </c>
      <c r="Q198" s="2">
        <v>32192</v>
      </c>
      <c r="R198" s="9" t="s">
        <v>3171</v>
      </c>
    </row>
    <row r="199" spans="1:18" ht="131.25">
      <c r="A199" s="13"/>
      <c r="B199" s="10" t="s">
        <v>996</v>
      </c>
      <c r="C199" s="11" t="s">
        <v>2667</v>
      </c>
      <c r="D199" s="339" t="s">
        <v>2668</v>
      </c>
      <c r="E199" s="9"/>
      <c r="F199" s="9"/>
      <c r="G199" s="9" t="s">
        <v>16</v>
      </c>
      <c r="H199" s="118" t="s">
        <v>96</v>
      </c>
      <c r="I199" s="9" t="s">
        <v>571</v>
      </c>
      <c r="J199" s="30"/>
      <c r="K199" s="119">
        <v>45945</v>
      </c>
      <c r="L199" s="84" t="s">
        <v>1802</v>
      </c>
      <c r="M199" s="119">
        <v>46254</v>
      </c>
      <c r="N199" s="2">
        <v>32714</v>
      </c>
      <c r="P199" s="2">
        <v>32714</v>
      </c>
    </row>
    <row r="200" spans="1:18" ht="409.5">
      <c r="A200" s="13"/>
      <c r="B200" s="93" t="s">
        <v>3038</v>
      </c>
      <c r="C200" s="62" t="s">
        <v>3039</v>
      </c>
      <c r="D200" s="31" t="s">
        <v>3040</v>
      </c>
      <c r="E200" s="9">
        <v>7</v>
      </c>
      <c r="F200" s="9">
        <v>4</v>
      </c>
      <c r="G200" s="9" t="s">
        <v>16</v>
      </c>
      <c r="H200" s="118" t="s">
        <v>96</v>
      </c>
      <c r="I200" s="9" t="s">
        <v>19</v>
      </c>
      <c r="J200" s="26" t="s">
        <v>392</v>
      </c>
      <c r="K200" s="122" t="s">
        <v>3030</v>
      </c>
      <c r="L200" s="120"/>
      <c r="M200" s="120" t="s">
        <v>2897</v>
      </c>
      <c r="N200" s="2">
        <v>32714</v>
      </c>
      <c r="P200" s="2">
        <v>32714</v>
      </c>
      <c r="Q200" s="2">
        <v>32714</v>
      </c>
      <c r="R200" s="9" t="s">
        <v>3138</v>
      </c>
    </row>
    <row r="201" spans="1:18" ht="337.5">
      <c r="A201" s="13"/>
      <c r="B201" s="93" t="s">
        <v>1222</v>
      </c>
      <c r="C201" s="62" t="s">
        <v>2890</v>
      </c>
      <c r="D201" s="31" t="s">
        <v>2891</v>
      </c>
      <c r="E201" s="9">
        <v>7</v>
      </c>
      <c r="F201" s="9">
        <v>4</v>
      </c>
      <c r="G201" s="9" t="s">
        <v>16</v>
      </c>
      <c r="H201" s="118" t="s">
        <v>96</v>
      </c>
      <c r="I201" s="9" t="s">
        <v>51</v>
      </c>
      <c r="J201" s="26" t="s">
        <v>394</v>
      </c>
      <c r="K201" s="18" t="s">
        <v>2229</v>
      </c>
      <c r="L201" s="20" t="s">
        <v>2595</v>
      </c>
      <c r="M201" s="20" t="s">
        <v>2595</v>
      </c>
      <c r="N201" s="2">
        <v>32714</v>
      </c>
      <c r="P201" s="2">
        <v>32714</v>
      </c>
      <c r="Q201" s="2">
        <v>32192</v>
      </c>
      <c r="R201" s="162" t="s">
        <v>2741</v>
      </c>
    </row>
    <row r="202" spans="1:18" ht="211.5" customHeight="1">
      <c r="A202" s="13"/>
      <c r="B202" s="10" t="s">
        <v>2749</v>
      </c>
      <c r="C202" s="232" t="s">
        <v>2750</v>
      </c>
      <c r="D202" s="339" t="s">
        <v>2751</v>
      </c>
      <c r="E202" s="13"/>
      <c r="F202" s="13">
        <v>4</v>
      </c>
      <c r="G202" s="9" t="s">
        <v>16</v>
      </c>
      <c r="H202" s="118" t="s">
        <v>395</v>
      </c>
      <c r="I202" s="121" t="s">
        <v>1484</v>
      </c>
      <c r="J202" s="26" t="s">
        <v>396</v>
      </c>
      <c r="K202" s="122" t="s">
        <v>924</v>
      </c>
      <c r="L202" s="344" t="s">
        <v>1717</v>
      </c>
      <c r="M202" s="20" t="s">
        <v>1375</v>
      </c>
      <c r="N202" s="2">
        <v>32714</v>
      </c>
      <c r="P202" s="2">
        <v>32785</v>
      </c>
      <c r="Q202" s="2">
        <v>32192</v>
      </c>
      <c r="R202" s="162" t="s">
        <v>3346</v>
      </c>
    </row>
    <row r="203" spans="1:18" ht="294.75" customHeight="1">
      <c r="A203" s="13">
        <v>123</v>
      </c>
      <c r="B203" s="62" t="s">
        <v>3106</v>
      </c>
      <c r="C203" s="93" t="s">
        <v>3107</v>
      </c>
      <c r="D203" s="11" t="s">
        <v>3108</v>
      </c>
      <c r="E203" s="13">
        <v>4</v>
      </c>
      <c r="F203" s="13">
        <v>3</v>
      </c>
      <c r="G203" s="71" t="s">
        <v>126</v>
      </c>
      <c r="H203" s="9" t="s">
        <v>397</v>
      </c>
      <c r="I203" s="121" t="s">
        <v>19</v>
      </c>
      <c r="J203" s="30" t="s">
        <v>342</v>
      </c>
      <c r="K203" s="18" t="s">
        <v>3099</v>
      </c>
      <c r="L203" s="35" t="s">
        <v>2319</v>
      </c>
      <c r="M203" s="35" t="s">
        <v>2319</v>
      </c>
      <c r="P203" s="2" t="s">
        <v>3109</v>
      </c>
      <c r="R203" s="13">
        <v>4</v>
      </c>
    </row>
    <row r="204" spans="1:18" ht="233.25" customHeight="1">
      <c r="A204" s="13"/>
      <c r="B204" s="62" t="s">
        <v>1223</v>
      </c>
      <c r="C204" s="93" t="s">
        <v>398</v>
      </c>
      <c r="D204" s="32" t="s">
        <v>1938</v>
      </c>
      <c r="E204" s="13"/>
      <c r="F204" s="13">
        <v>3</v>
      </c>
      <c r="G204" s="12" t="s">
        <v>16</v>
      </c>
      <c r="H204" s="9" t="s">
        <v>1629</v>
      </c>
      <c r="I204" s="17" t="s">
        <v>19</v>
      </c>
      <c r="J204" s="26" t="s">
        <v>399</v>
      </c>
      <c r="K204" s="18" t="s">
        <v>1935</v>
      </c>
      <c r="L204" s="138" t="s">
        <v>1613</v>
      </c>
      <c r="M204" s="138" t="s">
        <v>1613</v>
      </c>
      <c r="N204" s="2">
        <v>32785</v>
      </c>
      <c r="P204" s="2">
        <v>30896</v>
      </c>
      <c r="R204" s="162" t="s">
        <v>2686</v>
      </c>
    </row>
    <row r="205" spans="1:18" ht="143.25" customHeight="1">
      <c r="A205" s="13"/>
      <c r="B205" s="62" t="s">
        <v>400</v>
      </c>
      <c r="C205" s="93" t="s">
        <v>401</v>
      </c>
      <c r="D205" s="32" t="s">
        <v>1830</v>
      </c>
      <c r="E205" s="13"/>
      <c r="F205" s="13">
        <v>3</v>
      </c>
      <c r="G205" s="12" t="s">
        <v>16</v>
      </c>
      <c r="H205" s="9" t="s">
        <v>81</v>
      </c>
      <c r="I205" s="75" t="s">
        <v>1829</v>
      </c>
      <c r="J205" s="26" t="s">
        <v>402</v>
      </c>
      <c r="K205" s="18" t="s">
        <v>1909</v>
      </c>
      <c r="L205" s="45" t="s">
        <v>1064</v>
      </c>
      <c r="M205" s="45"/>
      <c r="N205" s="2">
        <v>32785</v>
      </c>
      <c r="P205" s="2">
        <v>1844</v>
      </c>
      <c r="R205" s="162" t="s">
        <v>2292</v>
      </c>
    </row>
    <row r="206" spans="1:18" ht="179.25" customHeight="1">
      <c r="A206" s="13">
        <v>126</v>
      </c>
      <c r="B206" s="62" t="s">
        <v>1224</v>
      </c>
      <c r="C206" s="93" t="s">
        <v>403</v>
      </c>
      <c r="D206" s="11" t="s">
        <v>2077</v>
      </c>
      <c r="E206" s="13"/>
      <c r="F206" s="13">
        <v>3</v>
      </c>
      <c r="G206" s="12" t="s">
        <v>16</v>
      </c>
      <c r="H206" s="9" t="s">
        <v>81</v>
      </c>
      <c r="I206" s="13" t="s">
        <v>19</v>
      </c>
      <c r="J206" s="30" t="s">
        <v>404</v>
      </c>
      <c r="K206" s="18" t="s">
        <v>2071</v>
      </c>
      <c r="L206" s="19" t="s">
        <v>1864</v>
      </c>
      <c r="M206" s="20"/>
      <c r="N206" s="2">
        <v>32714</v>
      </c>
      <c r="P206" s="2">
        <v>32192</v>
      </c>
      <c r="R206" s="3" t="s">
        <v>3264</v>
      </c>
    </row>
    <row r="207" spans="1:18" ht="120" customHeight="1">
      <c r="A207" s="13"/>
      <c r="B207" s="62" t="s">
        <v>1577</v>
      </c>
      <c r="C207" s="93" t="s">
        <v>1485</v>
      </c>
      <c r="D207" s="31" t="s">
        <v>405</v>
      </c>
      <c r="E207" s="12"/>
      <c r="F207" s="12">
        <v>3</v>
      </c>
      <c r="G207" s="12" t="s">
        <v>16</v>
      </c>
      <c r="H207" s="112" t="s">
        <v>201</v>
      </c>
      <c r="I207" s="24" t="s">
        <v>1465</v>
      </c>
      <c r="J207" s="26" t="s">
        <v>341</v>
      </c>
      <c r="K207" s="18"/>
      <c r="L207" s="25"/>
      <c r="M207" s="25" t="s">
        <v>69</v>
      </c>
      <c r="N207" s="2">
        <v>32785</v>
      </c>
      <c r="P207" s="2" t="s">
        <v>172</v>
      </c>
      <c r="R207" s="12">
        <v>4</v>
      </c>
    </row>
    <row r="208" spans="1:18" ht="191.25" customHeight="1">
      <c r="A208" s="13">
        <v>128</v>
      </c>
      <c r="B208" s="10" t="s">
        <v>1865</v>
      </c>
      <c r="C208" s="10" t="s">
        <v>2894</v>
      </c>
      <c r="D208" s="32" t="s">
        <v>2895</v>
      </c>
      <c r="E208" s="12">
        <v>4</v>
      </c>
      <c r="F208" s="12">
        <v>3</v>
      </c>
      <c r="G208" s="37" t="s">
        <v>406</v>
      </c>
      <c r="H208" s="9" t="s">
        <v>81</v>
      </c>
      <c r="I208" s="24" t="s">
        <v>2896</v>
      </c>
      <c r="J208" s="82" t="s">
        <v>407</v>
      </c>
      <c r="K208" s="18" t="s">
        <v>2229</v>
      </c>
      <c r="L208" s="25" t="s">
        <v>2897</v>
      </c>
      <c r="M208" s="25" t="s">
        <v>2897</v>
      </c>
      <c r="N208" s="2">
        <v>32785</v>
      </c>
      <c r="P208" s="2">
        <v>32785</v>
      </c>
    </row>
    <row r="209" spans="1:18" ht="219.75" customHeight="1">
      <c r="A209" s="13"/>
      <c r="B209" s="11" t="s">
        <v>2801</v>
      </c>
      <c r="C209" s="10" t="s">
        <v>2802</v>
      </c>
      <c r="D209" s="350" t="s">
        <v>2295</v>
      </c>
      <c r="E209" s="12">
        <v>4</v>
      </c>
      <c r="F209" s="12">
        <v>4</v>
      </c>
      <c r="G209" s="37" t="s">
        <v>77</v>
      </c>
      <c r="H209" s="9" t="s">
        <v>81</v>
      </c>
      <c r="I209" s="75" t="s">
        <v>225</v>
      </c>
      <c r="J209" s="30" t="s">
        <v>408</v>
      </c>
      <c r="K209" s="119">
        <v>46014</v>
      </c>
      <c r="L209" s="344" t="s">
        <v>2803</v>
      </c>
      <c r="M209" s="20" t="s">
        <v>1859</v>
      </c>
      <c r="N209" s="2">
        <v>4860</v>
      </c>
      <c r="P209" s="2">
        <v>32785</v>
      </c>
      <c r="Q209" s="2">
        <v>9676</v>
      </c>
    </row>
    <row r="210" spans="1:18" ht="168.75" customHeight="1">
      <c r="A210" s="13">
        <v>130</v>
      </c>
      <c r="B210" s="62" t="s">
        <v>1354</v>
      </c>
      <c r="C210" s="10" t="s">
        <v>2638</v>
      </c>
      <c r="D210" s="11" t="s">
        <v>2639</v>
      </c>
      <c r="E210" s="12">
        <v>4</v>
      </c>
      <c r="F210" s="12">
        <v>3</v>
      </c>
      <c r="G210" s="12" t="s">
        <v>16</v>
      </c>
      <c r="H210" s="9" t="s">
        <v>81</v>
      </c>
      <c r="I210" s="10" t="s">
        <v>1382</v>
      </c>
      <c r="J210" s="26" t="s">
        <v>409</v>
      </c>
      <c r="K210" s="18" t="s">
        <v>1950</v>
      </c>
      <c r="L210" s="20" t="s">
        <v>1906</v>
      </c>
      <c r="M210" s="20" t="s">
        <v>80</v>
      </c>
      <c r="N210" s="2">
        <v>32785</v>
      </c>
      <c r="P210" s="2">
        <v>32785</v>
      </c>
      <c r="Q210" s="2">
        <v>32785</v>
      </c>
      <c r="R210" s="3" t="s">
        <v>1125</v>
      </c>
    </row>
    <row r="211" spans="1:18" ht="262.5">
      <c r="A211" s="13"/>
      <c r="B211" s="11" t="s">
        <v>3292</v>
      </c>
      <c r="C211" s="11" t="s">
        <v>3293</v>
      </c>
      <c r="D211" s="343" t="s">
        <v>3294</v>
      </c>
      <c r="E211" s="12">
        <v>4</v>
      </c>
      <c r="F211" s="12">
        <v>3</v>
      </c>
      <c r="G211" s="12" t="s">
        <v>16</v>
      </c>
      <c r="H211" s="9" t="s">
        <v>81</v>
      </c>
      <c r="I211" s="75" t="s">
        <v>1828</v>
      </c>
      <c r="J211" s="26" t="s">
        <v>410</v>
      </c>
      <c r="K211" s="363" t="s">
        <v>3285</v>
      </c>
      <c r="L211" s="364"/>
      <c r="M211" s="363" t="s">
        <v>3295</v>
      </c>
      <c r="N211" s="2">
        <v>32785</v>
      </c>
      <c r="P211" s="3">
        <v>32785</v>
      </c>
      <c r="Q211" s="2">
        <v>32785</v>
      </c>
    </row>
    <row r="212" spans="1:18" ht="126.75" customHeight="1">
      <c r="A212" s="13">
        <v>131</v>
      </c>
      <c r="B212" s="62" t="s">
        <v>2367</v>
      </c>
      <c r="C212" s="10" t="s">
        <v>2684</v>
      </c>
      <c r="D212" s="11" t="s">
        <v>411</v>
      </c>
      <c r="E212" s="12">
        <v>4</v>
      </c>
      <c r="F212" s="12">
        <v>3</v>
      </c>
      <c r="G212" s="12" t="s">
        <v>16</v>
      </c>
      <c r="H212" s="9" t="s">
        <v>412</v>
      </c>
      <c r="I212" s="69" t="s">
        <v>2368</v>
      </c>
      <c r="J212" s="26" t="s">
        <v>413</v>
      </c>
      <c r="K212" s="76" t="s">
        <v>2369</v>
      </c>
      <c r="L212" s="124" t="s">
        <v>2370</v>
      </c>
      <c r="M212" s="20"/>
      <c r="N212" s="2">
        <v>32785</v>
      </c>
      <c r="P212" s="2">
        <v>32785</v>
      </c>
      <c r="Q212" s="2">
        <v>32785</v>
      </c>
    </row>
    <row r="213" spans="1:18" ht="254.25" customHeight="1">
      <c r="A213" s="13"/>
      <c r="B213" s="62" t="s">
        <v>1225</v>
      </c>
      <c r="C213" s="10" t="s">
        <v>414</v>
      </c>
      <c r="D213" s="11" t="s">
        <v>1668</v>
      </c>
      <c r="E213" s="12"/>
      <c r="F213" s="12">
        <v>3</v>
      </c>
      <c r="G213" s="12" t="s">
        <v>16</v>
      </c>
      <c r="H213" s="9" t="s">
        <v>412</v>
      </c>
      <c r="I213" s="9" t="s">
        <v>51</v>
      </c>
      <c r="J213" s="30" t="s">
        <v>415</v>
      </c>
      <c r="K213" s="18" t="s">
        <v>1880</v>
      </c>
      <c r="L213" s="84" t="s">
        <v>1859</v>
      </c>
      <c r="M213" s="84" t="s">
        <v>1859</v>
      </c>
      <c r="N213" s="2">
        <v>4860</v>
      </c>
      <c r="P213" s="3">
        <v>32714</v>
      </c>
      <c r="Q213" s="19"/>
      <c r="R213" s="3" t="s">
        <v>3178</v>
      </c>
    </row>
    <row r="214" spans="1:18" ht="131.25">
      <c r="A214" s="13"/>
      <c r="B214" s="10" t="s">
        <v>996</v>
      </c>
      <c r="C214" s="11" t="s">
        <v>2669</v>
      </c>
      <c r="D214" s="339" t="s">
        <v>2670</v>
      </c>
      <c r="E214" s="12"/>
      <c r="F214" s="12"/>
      <c r="G214" s="12" t="s">
        <v>16</v>
      </c>
      <c r="H214" s="9" t="s">
        <v>412</v>
      </c>
      <c r="I214" s="9" t="s">
        <v>571</v>
      </c>
      <c r="J214" s="30"/>
      <c r="K214" s="119">
        <v>45945</v>
      </c>
      <c r="L214" s="84" t="s">
        <v>1802</v>
      </c>
      <c r="M214" s="119">
        <v>46254</v>
      </c>
      <c r="N214" s="2">
        <v>4860</v>
      </c>
      <c r="P214" s="15"/>
      <c r="Q214" s="20"/>
    </row>
    <row r="215" spans="1:18" ht="152.25" customHeight="1">
      <c r="A215" s="13"/>
      <c r="B215" s="62" t="s">
        <v>1226</v>
      </c>
      <c r="C215" s="10" t="s">
        <v>1941</v>
      </c>
      <c r="D215" s="11" t="s">
        <v>1001</v>
      </c>
      <c r="E215" s="12"/>
      <c r="F215" s="12">
        <v>3</v>
      </c>
      <c r="G215" s="52" t="s">
        <v>16</v>
      </c>
      <c r="H215" s="34" t="s">
        <v>18</v>
      </c>
      <c r="I215" s="24" t="s">
        <v>1465</v>
      </c>
      <c r="J215" s="26" t="s">
        <v>464</v>
      </c>
      <c r="K215" s="18" t="s">
        <v>34</v>
      </c>
      <c r="L215" s="45" t="s">
        <v>1942</v>
      </c>
      <c r="M215" s="77"/>
      <c r="N215" s="2">
        <v>32785</v>
      </c>
      <c r="P215" s="2">
        <v>1844</v>
      </c>
      <c r="R215" s="3" t="s">
        <v>1976</v>
      </c>
    </row>
    <row r="216" spans="1:18" ht="405.75" customHeight="1">
      <c r="A216" s="13"/>
      <c r="B216" s="11" t="s">
        <v>1619</v>
      </c>
      <c r="C216" s="11" t="s">
        <v>2532</v>
      </c>
      <c r="D216" s="32" t="s">
        <v>1595</v>
      </c>
      <c r="E216" s="13"/>
      <c r="F216" s="37" t="s">
        <v>15</v>
      </c>
      <c r="G216" s="12" t="s">
        <v>16</v>
      </c>
      <c r="H216" s="34" t="s">
        <v>416</v>
      </c>
      <c r="I216" s="17" t="s">
        <v>19</v>
      </c>
      <c r="J216" s="82" t="s">
        <v>417</v>
      </c>
      <c r="K216" s="76" t="s">
        <v>1591</v>
      </c>
      <c r="L216" s="77" t="s">
        <v>1592</v>
      </c>
      <c r="M216" s="54"/>
      <c r="O216" s="3" t="s">
        <v>47</v>
      </c>
    </row>
    <row r="217" spans="1:18" ht="384.75" customHeight="1">
      <c r="A217" s="13"/>
      <c r="B217" s="11" t="s">
        <v>1618</v>
      </c>
      <c r="C217" s="11" t="s">
        <v>2533</v>
      </c>
      <c r="D217" s="32" t="s">
        <v>1598</v>
      </c>
      <c r="E217" s="13"/>
      <c r="F217" s="37"/>
      <c r="G217" s="12"/>
      <c r="H217" s="34"/>
      <c r="I217" s="17"/>
      <c r="J217" s="82" t="s">
        <v>417</v>
      </c>
      <c r="K217" s="76" t="s">
        <v>1591</v>
      </c>
      <c r="L217" s="77" t="s">
        <v>1592</v>
      </c>
      <c r="M217" s="54"/>
    </row>
    <row r="218" spans="1:18" ht="409.5" customHeight="1">
      <c r="A218" s="13"/>
      <c r="B218" s="11" t="s">
        <v>1618</v>
      </c>
      <c r="C218" s="11" t="s">
        <v>1486</v>
      </c>
      <c r="D218" s="32" t="s">
        <v>1594</v>
      </c>
      <c r="E218" s="13"/>
      <c r="F218" s="37" t="s">
        <v>15</v>
      </c>
      <c r="G218" s="12" t="s">
        <v>16</v>
      </c>
      <c r="H218" s="34" t="s">
        <v>416</v>
      </c>
      <c r="I218" s="17" t="s">
        <v>19</v>
      </c>
      <c r="J218" s="82" t="s">
        <v>417</v>
      </c>
      <c r="K218" s="76" t="s">
        <v>1593</v>
      </c>
      <c r="L218" s="77" t="s">
        <v>1592</v>
      </c>
      <c r="M218" s="54"/>
    </row>
    <row r="219" spans="1:18" ht="324" customHeight="1">
      <c r="A219" s="13"/>
      <c r="B219" s="62" t="s">
        <v>2502</v>
      </c>
      <c r="C219" s="10" t="s">
        <v>2503</v>
      </c>
      <c r="D219" s="11" t="s">
        <v>2504</v>
      </c>
      <c r="E219" s="12"/>
      <c r="F219" s="12">
        <v>3</v>
      </c>
      <c r="G219" s="12" t="s">
        <v>16</v>
      </c>
      <c r="H219" s="9" t="s">
        <v>418</v>
      </c>
      <c r="I219" s="17" t="s">
        <v>19</v>
      </c>
      <c r="J219" s="26" t="s">
        <v>419</v>
      </c>
      <c r="K219" s="18" t="s">
        <v>2505</v>
      </c>
      <c r="L219" s="45" t="s">
        <v>1676</v>
      </c>
      <c r="M219" s="47" t="s">
        <v>1676</v>
      </c>
      <c r="N219" s="2">
        <v>9676</v>
      </c>
      <c r="O219" s="2">
        <v>9676</v>
      </c>
      <c r="P219" s="2">
        <v>32785</v>
      </c>
      <c r="Q219" s="2">
        <v>9676</v>
      </c>
      <c r="R219" s="12" t="s">
        <v>3205</v>
      </c>
    </row>
    <row r="220" spans="1:18" ht="281.25">
      <c r="A220" s="13">
        <v>135</v>
      </c>
      <c r="B220" s="11" t="s">
        <v>2276</v>
      </c>
      <c r="C220" s="10" t="s">
        <v>2277</v>
      </c>
      <c r="D220" s="32" t="s">
        <v>2278</v>
      </c>
      <c r="E220" s="12"/>
      <c r="F220" s="12">
        <v>3</v>
      </c>
      <c r="G220" s="12" t="s">
        <v>16</v>
      </c>
      <c r="H220" s="9" t="s">
        <v>412</v>
      </c>
      <c r="I220" s="9" t="s">
        <v>420</v>
      </c>
      <c r="J220" s="30" t="s">
        <v>421</v>
      </c>
      <c r="K220" s="18" t="s">
        <v>1766</v>
      </c>
      <c r="L220" s="25" t="s">
        <v>1887</v>
      </c>
      <c r="M220" s="25" t="s">
        <v>1887</v>
      </c>
      <c r="N220" s="2" t="s">
        <v>423</v>
      </c>
      <c r="R220" s="3" t="s">
        <v>3208</v>
      </c>
    </row>
    <row r="221" spans="1:18" ht="256.5" customHeight="1">
      <c r="A221" s="13"/>
      <c r="B221" s="11" t="s">
        <v>2526</v>
      </c>
      <c r="C221" s="10" t="s">
        <v>424</v>
      </c>
      <c r="D221" s="32" t="s">
        <v>2527</v>
      </c>
      <c r="E221" s="12"/>
      <c r="F221" s="12"/>
      <c r="G221" s="12" t="s">
        <v>16</v>
      </c>
      <c r="H221" s="9" t="s">
        <v>893</v>
      </c>
      <c r="I221" s="69" t="s">
        <v>571</v>
      </c>
      <c r="J221" s="26" t="s">
        <v>425</v>
      </c>
      <c r="K221" s="18" t="s">
        <v>2518</v>
      </c>
      <c r="L221" s="125">
        <v>45828</v>
      </c>
      <c r="M221" s="125">
        <v>46193</v>
      </c>
      <c r="R221" s="3" t="s">
        <v>3168</v>
      </c>
    </row>
    <row r="222" spans="1:18" ht="219" customHeight="1">
      <c r="A222" s="13">
        <v>141</v>
      </c>
      <c r="B222" s="62" t="s">
        <v>1850</v>
      </c>
      <c r="C222" s="10" t="s">
        <v>426</v>
      </c>
      <c r="D222" s="11" t="s">
        <v>1385</v>
      </c>
      <c r="E222" s="12"/>
      <c r="F222" s="12">
        <v>3</v>
      </c>
      <c r="G222" s="12" t="s">
        <v>16</v>
      </c>
      <c r="H222" s="9" t="s">
        <v>412</v>
      </c>
      <c r="I222" s="9" t="s">
        <v>51</v>
      </c>
      <c r="J222" s="26" t="s">
        <v>427</v>
      </c>
      <c r="K222" s="18" t="s">
        <v>1386</v>
      </c>
      <c r="L222" s="20"/>
      <c r="M222" s="20" t="s">
        <v>80</v>
      </c>
      <c r="N222" s="2">
        <v>4860</v>
      </c>
      <c r="O222" s="3" t="s">
        <v>175</v>
      </c>
      <c r="P222" s="3">
        <v>32714</v>
      </c>
      <c r="R222" s="162" t="s">
        <v>2602</v>
      </c>
    </row>
    <row r="223" spans="1:18" ht="300">
      <c r="A223" s="13"/>
      <c r="B223" s="11" t="s">
        <v>1227</v>
      </c>
      <c r="C223" s="11" t="s">
        <v>2419</v>
      </c>
      <c r="D223" s="32" t="s">
        <v>2420</v>
      </c>
      <c r="E223" s="12"/>
      <c r="F223" s="12">
        <v>4</v>
      </c>
      <c r="G223" s="52" t="s">
        <v>16</v>
      </c>
      <c r="H223" s="34" t="s">
        <v>124</v>
      </c>
      <c r="I223" s="24" t="s">
        <v>1487</v>
      </c>
      <c r="J223" s="82" t="s">
        <v>428</v>
      </c>
      <c r="K223" s="18" t="s">
        <v>2418</v>
      </c>
      <c r="L223" s="325"/>
      <c r="M223" s="325" t="s">
        <v>1784</v>
      </c>
      <c r="N223" s="2">
        <v>8853</v>
      </c>
      <c r="Q223" s="3">
        <v>32714</v>
      </c>
      <c r="R223" s="12" t="s">
        <v>2985</v>
      </c>
    </row>
    <row r="224" spans="1:18" ht="225">
      <c r="A224" s="13"/>
      <c r="B224" s="11" t="s">
        <v>429</v>
      </c>
      <c r="C224" s="11" t="s">
        <v>430</v>
      </c>
      <c r="D224" s="32" t="s">
        <v>431</v>
      </c>
      <c r="E224" s="12"/>
      <c r="F224" s="12">
        <v>4</v>
      </c>
      <c r="G224" s="52" t="s">
        <v>16</v>
      </c>
      <c r="H224" s="34" t="s">
        <v>96</v>
      </c>
      <c r="I224" s="28" t="s">
        <v>19</v>
      </c>
      <c r="J224" s="82" t="s">
        <v>432</v>
      </c>
      <c r="K224" s="18" t="s">
        <v>1727</v>
      </c>
      <c r="L224" s="18"/>
      <c r="M224" s="18" t="s">
        <v>1731</v>
      </c>
      <c r="N224" s="2">
        <v>8853</v>
      </c>
      <c r="Q224" s="3">
        <v>9676</v>
      </c>
      <c r="R224" s="12" t="s">
        <v>2989</v>
      </c>
    </row>
    <row r="225" spans="1:18" ht="310.5" customHeight="1">
      <c r="A225" s="13">
        <v>147</v>
      </c>
      <c r="B225" s="11" t="s">
        <v>3342</v>
      </c>
      <c r="C225" s="11" t="s">
        <v>3343</v>
      </c>
      <c r="D225" s="367" t="s">
        <v>3339</v>
      </c>
      <c r="E225" s="12">
        <v>4</v>
      </c>
      <c r="F225" s="12">
        <v>4</v>
      </c>
      <c r="G225" s="52" t="s">
        <v>16</v>
      </c>
      <c r="H225" s="34" t="s">
        <v>433</v>
      </c>
      <c r="I225" s="28" t="s">
        <v>19</v>
      </c>
      <c r="J225" s="30" t="s">
        <v>434</v>
      </c>
      <c r="K225" s="18" t="s">
        <v>3340</v>
      </c>
      <c r="L225" s="19" t="s">
        <v>3341</v>
      </c>
      <c r="M225" s="19" t="s">
        <v>2054</v>
      </c>
      <c r="N225" s="2">
        <v>32714</v>
      </c>
      <c r="Q225" s="3">
        <v>9676</v>
      </c>
      <c r="R225" s="3" t="s">
        <v>3265</v>
      </c>
    </row>
    <row r="226" spans="1:18" ht="110.25" customHeight="1">
      <c r="A226" s="13">
        <v>150</v>
      </c>
      <c r="B226" s="11" t="s">
        <v>3310</v>
      </c>
      <c r="C226" s="11" t="s">
        <v>3311</v>
      </c>
      <c r="D226" s="181" t="s">
        <v>3312</v>
      </c>
      <c r="E226" s="9">
        <v>4</v>
      </c>
      <c r="F226" s="9">
        <v>3</v>
      </c>
      <c r="G226" s="52" t="s">
        <v>16</v>
      </c>
      <c r="H226" s="9" t="s">
        <v>18</v>
      </c>
      <c r="I226" s="75" t="s">
        <v>1822</v>
      </c>
      <c r="J226" s="26" t="s">
        <v>437</v>
      </c>
      <c r="K226" s="366" t="s">
        <v>3280</v>
      </c>
      <c r="L226" s="361"/>
      <c r="M226" s="361" t="s">
        <v>3295</v>
      </c>
      <c r="N226" s="2">
        <v>32785</v>
      </c>
      <c r="P226" s="3">
        <v>32785</v>
      </c>
      <c r="Q226" s="2">
        <v>32785</v>
      </c>
    </row>
    <row r="227" spans="1:18" ht="164.25" customHeight="1">
      <c r="A227" s="13"/>
      <c r="B227" s="62" t="s">
        <v>1228</v>
      </c>
      <c r="C227" s="62" t="s">
        <v>1904</v>
      </c>
      <c r="D227" s="32" t="s">
        <v>2408</v>
      </c>
      <c r="E227" s="9">
        <v>4</v>
      </c>
      <c r="F227" s="9">
        <v>3</v>
      </c>
      <c r="G227" s="52" t="s">
        <v>16</v>
      </c>
      <c r="H227" s="9" t="s">
        <v>18</v>
      </c>
      <c r="I227" s="24" t="s">
        <v>1574</v>
      </c>
      <c r="J227" s="26" t="s">
        <v>438</v>
      </c>
      <c r="K227" s="18" t="s">
        <v>2404</v>
      </c>
      <c r="L227" s="25" t="s">
        <v>2409</v>
      </c>
      <c r="M227" s="25" t="s">
        <v>1785</v>
      </c>
      <c r="N227" s="2">
        <v>32192</v>
      </c>
      <c r="P227" s="3">
        <v>32785</v>
      </c>
      <c r="Q227" s="3">
        <v>32785</v>
      </c>
    </row>
    <row r="228" spans="1:18" ht="180.75" customHeight="1">
      <c r="A228" s="13"/>
      <c r="B228" s="62" t="s">
        <v>1229</v>
      </c>
      <c r="C228" s="93" t="s">
        <v>439</v>
      </c>
      <c r="D228" s="31" t="s">
        <v>440</v>
      </c>
      <c r="E228" s="9"/>
      <c r="F228" s="9">
        <v>4</v>
      </c>
      <c r="G228" s="12" t="s">
        <v>16</v>
      </c>
      <c r="H228" s="9" t="s">
        <v>81</v>
      </c>
      <c r="I228" s="13" t="s">
        <v>19</v>
      </c>
      <c r="J228" s="26" t="s">
        <v>441</v>
      </c>
      <c r="K228" s="14">
        <v>44354</v>
      </c>
      <c r="L228" s="19" t="s">
        <v>300</v>
      </c>
      <c r="M228" s="20"/>
      <c r="N228" s="2">
        <v>32785</v>
      </c>
      <c r="R228" s="3" t="s">
        <v>1004</v>
      </c>
    </row>
    <row r="229" spans="1:18" ht="409.5">
      <c r="A229" s="13"/>
      <c r="B229" s="62" t="s">
        <v>2993</v>
      </c>
      <c r="C229" s="93" t="s">
        <v>2994</v>
      </c>
      <c r="D229" s="31" t="s">
        <v>2995</v>
      </c>
      <c r="E229" s="9"/>
      <c r="F229" s="9"/>
      <c r="G229" s="12" t="s">
        <v>16</v>
      </c>
      <c r="H229" s="9" t="s">
        <v>81</v>
      </c>
      <c r="I229" s="24" t="s">
        <v>571</v>
      </c>
      <c r="J229" s="26" t="s">
        <v>442</v>
      </c>
      <c r="K229" s="18" t="s">
        <v>2338</v>
      </c>
      <c r="L229" s="127" t="s">
        <v>2996</v>
      </c>
      <c r="M229" s="127" t="s">
        <v>2996</v>
      </c>
      <c r="N229" s="2" t="s">
        <v>3012</v>
      </c>
      <c r="P229" s="3">
        <v>32785</v>
      </c>
    </row>
    <row r="230" spans="1:18" ht="253.5" customHeight="1">
      <c r="A230" s="13">
        <v>151</v>
      </c>
      <c r="B230" s="11" t="s">
        <v>443</v>
      </c>
      <c r="C230" s="11" t="s">
        <v>1422</v>
      </c>
      <c r="D230" s="32" t="s">
        <v>444</v>
      </c>
      <c r="E230" s="12">
        <v>4</v>
      </c>
      <c r="F230" s="12">
        <v>4</v>
      </c>
      <c r="G230" s="12" t="s">
        <v>16</v>
      </c>
      <c r="H230" s="34" t="s">
        <v>18</v>
      </c>
      <c r="I230" s="24" t="s">
        <v>1470</v>
      </c>
      <c r="J230" s="30" t="s">
        <v>445</v>
      </c>
      <c r="K230" s="18" t="s">
        <v>2136</v>
      </c>
      <c r="L230" s="19" t="s">
        <v>2000</v>
      </c>
      <c r="M230" s="20"/>
      <c r="N230" s="2">
        <v>32714</v>
      </c>
      <c r="Q230" s="3">
        <v>9676</v>
      </c>
    </row>
    <row r="231" spans="1:18" ht="75">
      <c r="A231" s="13"/>
      <c r="B231" s="11" t="s">
        <v>3236</v>
      </c>
      <c r="C231" s="11" t="s">
        <v>3237</v>
      </c>
      <c r="D231" s="181" t="s">
        <v>446</v>
      </c>
      <c r="E231" s="12">
        <v>4</v>
      </c>
      <c r="F231" s="12">
        <v>4</v>
      </c>
      <c r="G231" s="12" t="s">
        <v>16</v>
      </c>
      <c r="H231" s="34" t="s">
        <v>18</v>
      </c>
      <c r="I231" s="13" t="s">
        <v>19</v>
      </c>
      <c r="J231" s="26" t="s">
        <v>447</v>
      </c>
      <c r="K231" s="18" t="s">
        <v>3232</v>
      </c>
      <c r="L231" s="361" t="s">
        <v>1730</v>
      </c>
      <c r="M231" s="361" t="s">
        <v>1730</v>
      </c>
      <c r="N231" s="2">
        <v>32714</v>
      </c>
      <c r="Q231" s="3">
        <v>9676</v>
      </c>
      <c r="R231" s="12">
        <v>4</v>
      </c>
    </row>
    <row r="232" spans="1:18" ht="252.75" customHeight="1">
      <c r="A232" s="13"/>
      <c r="B232" s="11" t="s">
        <v>1230</v>
      </c>
      <c r="C232" s="11" t="s">
        <v>2787</v>
      </c>
      <c r="D232" s="350" t="s">
        <v>2788</v>
      </c>
      <c r="E232" s="12">
        <v>4</v>
      </c>
      <c r="F232" s="12">
        <v>4</v>
      </c>
      <c r="G232" s="52" t="s">
        <v>16</v>
      </c>
      <c r="H232" s="34" t="s">
        <v>18</v>
      </c>
      <c r="I232" s="13" t="s">
        <v>19</v>
      </c>
      <c r="J232" s="26" t="s">
        <v>448</v>
      </c>
      <c r="K232" s="119">
        <v>46002</v>
      </c>
      <c r="L232" s="344" t="s">
        <v>2595</v>
      </c>
      <c r="M232" s="25"/>
      <c r="N232" s="2">
        <v>8853</v>
      </c>
      <c r="Q232" s="2">
        <v>32714</v>
      </c>
    </row>
    <row r="233" spans="1:18" ht="252.75" customHeight="1">
      <c r="A233" s="13"/>
      <c r="B233" s="11" t="s">
        <v>450</v>
      </c>
      <c r="C233" s="11" t="s">
        <v>451</v>
      </c>
      <c r="D233" s="32" t="s">
        <v>452</v>
      </c>
      <c r="E233" s="12"/>
      <c r="F233" s="12">
        <v>4</v>
      </c>
      <c r="G233" s="52" t="s">
        <v>16</v>
      </c>
      <c r="H233" s="34" t="s">
        <v>18</v>
      </c>
      <c r="I233" s="75" t="s">
        <v>1012</v>
      </c>
      <c r="J233" s="26"/>
      <c r="K233" s="14"/>
      <c r="L233" s="25" t="s">
        <v>92</v>
      </c>
      <c r="M233" s="25"/>
      <c r="N233" s="2">
        <v>8853</v>
      </c>
      <c r="Q233" s="3">
        <v>8853</v>
      </c>
      <c r="R233" s="3" t="s">
        <v>1719</v>
      </c>
    </row>
    <row r="234" spans="1:18" ht="409.5">
      <c r="A234" s="13"/>
      <c r="B234" s="235" t="s">
        <v>1231</v>
      </c>
      <c r="C234" s="235" t="s">
        <v>453</v>
      </c>
      <c r="D234" s="278" t="s">
        <v>1808</v>
      </c>
      <c r="E234" s="244"/>
      <c r="F234" s="244"/>
      <c r="G234" s="283" t="s">
        <v>16</v>
      </c>
      <c r="H234" s="239" t="s">
        <v>18</v>
      </c>
      <c r="I234" s="322" t="s">
        <v>571</v>
      </c>
      <c r="J234" s="241" t="s">
        <v>454</v>
      </c>
      <c r="K234" s="242" t="s">
        <v>1807</v>
      </c>
      <c r="L234" s="254" t="s">
        <v>1024</v>
      </c>
      <c r="M234" s="268"/>
      <c r="N234" s="255">
        <v>8853</v>
      </c>
      <c r="O234" s="131"/>
      <c r="P234" s="131"/>
      <c r="Q234" s="131"/>
      <c r="R234" s="131" t="s">
        <v>2387</v>
      </c>
    </row>
    <row r="235" spans="1:18" ht="358.5" customHeight="1">
      <c r="A235" s="13"/>
      <c r="B235" s="11" t="s">
        <v>1232</v>
      </c>
      <c r="C235" s="11" t="s">
        <v>455</v>
      </c>
      <c r="D235" s="32" t="s">
        <v>456</v>
      </c>
      <c r="E235" s="12"/>
      <c r="F235" s="12">
        <v>4</v>
      </c>
      <c r="G235" s="29" t="s">
        <v>457</v>
      </c>
      <c r="H235" s="34" t="s">
        <v>18</v>
      </c>
      <c r="I235" s="9" t="s">
        <v>458</v>
      </c>
      <c r="J235" s="26" t="s">
        <v>459</v>
      </c>
      <c r="K235" s="14">
        <v>44698</v>
      </c>
      <c r="N235" s="2">
        <v>8853</v>
      </c>
      <c r="O235" s="3">
        <v>4</v>
      </c>
    </row>
    <row r="236" spans="1:18" ht="275.25" customHeight="1">
      <c r="A236" s="13"/>
      <c r="B236" s="11" t="s">
        <v>1233</v>
      </c>
      <c r="C236" s="10" t="s">
        <v>1761</v>
      </c>
      <c r="D236" s="32" t="s">
        <v>460</v>
      </c>
      <c r="E236" s="12"/>
      <c r="F236" s="12">
        <v>4</v>
      </c>
      <c r="G236" s="29" t="s">
        <v>16</v>
      </c>
      <c r="H236" s="34" t="s">
        <v>18</v>
      </c>
      <c r="I236" s="17" t="s">
        <v>19</v>
      </c>
      <c r="J236" s="26" t="s">
        <v>461</v>
      </c>
      <c r="K236" s="18" t="s">
        <v>1758</v>
      </c>
      <c r="L236" s="97" t="s">
        <v>69</v>
      </c>
      <c r="M236" s="97" t="s">
        <v>1634</v>
      </c>
      <c r="N236" s="2">
        <v>4860</v>
      </c>
      <c r="Q236" s="2">
        <v>8853</v>
      </c>
      <c r="R236" s="3" t="s">
        <v>1826</v>
      </c>
    </row>
    <row r="237" spans="1:18" ht="336.75" customHeight="1">
      <c r="A237" s="13"/>
      <c r="B237" s="11" t="s">
        <v>3320</v>
      </c>
      <c r="C237" s="11" t="s">
        <v>3321</v>
      </c>
      <c r="D237" s="189" t="s">
        <v>3322</v>
      </c>
      <c r="E237" s="12">
        <v>4</v>
      </c>
      <c r="F237" s="12">
        <v>4</v>
      </c>
      <c r="G237" s="52" t="s">
        <v>16</v>
      </c>
      <c r="H237" s="34" t="s">
        <v>18</v>
      </c>
      <c r="I237" s="17" t="s">
        <v>19</v>
      </c>
      <c r="J237" s="26" t="s">
        <v>462</v>
      </c>
      <c r="K237" s="18" t="s">
        <v>3323</v>
      </c>
      <c r="L237" s="20" t="s">
        <v>3295</v>
      </c>
      <c r="M237" s="20" t="s">
        <v>3295</v>
      </c>
      <c r="N237" s="99" t="s">
        <v>3457</v>
      </c>
      <c r="O237" s="99"/>
      <c r="P237" s="99"/>
      <c r="Q237" s="99"/>
      <c r="R237" s="12" t="s">
        <v>2985</v>
      </c>
    </row>
    <row r="238" spans="1:18" ht="337.5">
      <c r="A238" s="13"/>
      <c r="B238" s="11" t="s">
        <v>3044</v>
      </c>
      <c r="C238" s="11" t="s">
        <v>3045</v>
      </c>
      <c r="D238" s="32" t="s">
        <v>3046</v>
      </c>
      <c r="E238" s="12"/>
      <c r="F238" s="12">
        <v>2</v>
      </c>
      <c r="G238" s="52" t="s">
        <v>16</v>
      </c>
      <c r="H238" s="34" t="s">
        <v>18</v>
      </c>
      <c r="I238" s="17" t="s">
        <v>19</v>
      </c>
      <c r="J238" s="26" t="s">
        <v>463</v>
      </c>
      <c r="K238" s="18" t="s">
        <v>3030</v>
      </c>
      <c r="L238" s="20"/>
      <c r="M238" s="20" t="s">
        <v>2887</v>
      </c>
      <c r="N238" s="2">
        <v>32192</v>
      </c>
      <c r="O238" s="3">
        <v>9676</v>
      </c>
      <c r="R238" s="12" t="s">
        <v>3140</v>
      </c>
    </row>
    <row r="239" spans="1:18" ht="112.5">
      <c r="A239" s="13"/>
      <c r="B239" s="11" t="s">
        <v>1390</v>
      </c>
      <c r="C239" s="232" t="s">
        <v>1940</v>
      </c>
      <c r="D239" s="32" t="s">
        <v>1585</v>
      </c>
      <c r="E239" s="12"/>
      <c r="F239" s="12">
        <v>3</v>
      </c>
      <c r="G239" s="52" t="s">
        <v>16</v>
      </c>
      <c r="H239" s="34" t="s">
        <v>18</v>
      </c>
      <c r="I239" s="24" t="s">
        <v>1465</v>
      </c>
      <c r="J239" s="26" t="s">
        <v>464</v>
      </c>
      <c r="K239" s="18" t="s">
        <v>34</v>
      </c>
      <c r="L239" s="45" t="s">
        <v>1942</v>
      </c>
      <c r="M239" s="25"/>
      <c r="N239" s="2">
        <v>4860</v>
      </c>
      <c r="P239" s="2">
        <v>32192</v>
      </c>
      <c r="R239" s="3" t="s">
        <v>2164</v>
      </c>
    </row>
    <row r="240" spans="1:18" ht="268.5" customHeight="1">
      <c r="A240" s="13"/>
      <c r="B240" s="11" t="s">
        <v>1234</v>
      </c>
      <c r="C240" s="11" t="s">
        <v>2757</v>
      </c>
      <c r="D240" s="350" t="s">
        <v>2758</v>
      </c>
      <c r="E240" s="12"/>
      <c r="F240" s="12">
        <v>4</v>
      </c>
      <c r="G240" s="29" t="s">
        <v>465</v>
      </c>
      <c r="H240" s="34" t="s">
        <v>18</v>
      </c>
      <c r="I240" s="9" t="s">
        <v>51</v>
      </c>
      <c r="J240" s="26" t="s">
        <v>466</v>
      </c>
      <c r="K240" s="119">
        <v>45982</v>
      </c>
      <c r="L240" s="344"/>
      <c r="M240" s="344" t="s">
        <v>1717</v>
      </c>
      <c r="N240" s="2">
        <v>4860</v>
      </c>
      <c r="O240" s="3" t="s">
        <v>1235</v>
      </c>
      <c r="Q240" s="3">
        <v>32714</v>
      </c>
      <c r="R240" s="12" t="s">
        <v>2985</v>
      </c>
    </row>
    <row r="241" spans="1:31" ht="318.75">
      <c r="A241" s="13"/>
      <c r="B241" s="11" t="s">
        <v>1236</v>
      </c>
      <c r="C241" s="11" t="s">
        <v>467</v>
      </c>
      <c r="D241" s="32" t="s">
        <v>468</v>
      </c>
      <c r="E241" s="12"/>
      <c r="F241" s="12">
        <v>4</v>
      </c>
      <c r="G241" s="52" t="s">
        <v>16</v>
      </c>
      <c r="H241" s="34" t="s">
        <v>18</v>
      </c>
      <c r="I241" s="24" t="s">
        <v>1468</v>
      </c>
      <c r="J241" s="26" t="s">
        <v>469</v>
      </c>
      <c r="K241" s="18" t="s">
        <v>1770</v>
      </c>
      <c r="L241" s="25" t="s">
        <v>1731</v>
      </c>
      <c r="M241" s="25"/>
      <c r="N241" s="2">
        <v>4860</v>
      </c>
      <c r="Q241" s="2">
        <v>32714</v>
      </c>
      <c r="R241" s="12" t="s">
        <v>3158</v>
      </c>
    </row>
    <row r="242" spans="1:31" ht="409.5">
      <c r="A242" s="13"/>
      <c r="B242" s="11" t="s">
        <v>1237</v>
      </c>
      <c r="C242" s="11" t="s">
        <v>470</v>
      </c>
      <c r="D242" s="32" t="s">
        <v>1113</v>
      </c>
      <c r="E242" s="12"/>
      <c r="F242" s="12">
        <v>3</v>
      </c>
      <c r="G242" s="52" t="s">
        <v>16</v>
      </c>
      <c r="H242" s="9" t="s">
        <v>18</v>
      </c>
      <c r="I242" s="9" t="s">
        <v>51</v>
      </c>
      <c r="J242" s="26" t="s">
        <v>471</v>
      </c>
      <c r="K242" s="18" t="s">
        <v>472</v>
      </c>
      <c r="L242" s="25" t="s">
        <v>1095</v>
      </c>
      <c r="M242" s="25"/>
      <c r="N242" s="2">
        <v>32192</v>
      </c>
      <c r="P242" s="3">
        <v>32785</v>
      </c>
      <c r="R242" s="3" t="s">
        <v>1583</v>
      </c>
    </row>
    <row r="243" spans="1:31" ht="356.25">
      <c r="A243" s="13">
        <v>153</v>
      </c>
      <c r="B243" s="11" t="s">
        <v>3442</v>
      </c>
      <c r="C243" s="11" t="s">
        <v>3443</v>
      </c>
      <c r="D243" s="11" t="s">
        <v>3444</v>
      </c>
      <c r="E243" s="12">
        <v>3</v>
      </c>
      <c r="F243" s="37">
        <v>2</v>
      </c>
      <c r="G243" s="52" t="s">
        <v>16</v>
      </c>
      <c r="H243" s="13" t="s">
        <v>43</v>
      </c>
      <c r="I243" s="9" t="s">
        <v>564</v>
      </c>
      <c r="J243" s="64">
        <v>6503710101</v>
      </c>
      <c r="K243" s="18" t="s">
        <v>3446</v>
      </c>
      <c r="L243" s="128"/>
      <c r="M243" s="128" t="s">
        <v>3445</v>
      </c>
      <c r="O243" s="3">
        <v>13511</v>
      </c>
      <c r="Q243" s="3">
        <v>13511</v>
      </c>
      <c r="R243" s="12">
        <v>3</v>
      </c>
    </row>
    <row r="244" spans="1:31" ht="235.5" customHeight="1">
      <c r="A244" s="13"/>
      <c r="B244" s="11" t="s">
        <v>1238</v>
      </c>
      <c r="C244" s="11" t="s">
        <v>1450</v>
      </c>
      <c r="D244" s="11" t="s">
        <v>1452</v>
      </c>
      <c r="E244" s="12"/>
      <c r="F244" s="37"/>
      <c r="G244" s="52" t="s">
        <v>16</v>
      </c>
      <c r="H244" s="13" t="s">
        <v>43</v>
      </c>
      <c r="I244" s="101" t="s">
        <v>1548</v>
      </c>
      <c r="J244" s="64"/>
      <c r="K244" s="18" t="s">
        <v>1448</v>
      </c>
      <c r="L244" s="25" t="s">
        <v>899</v>
      </c>
      <c r="M244" s="25" t="s">
        <v>924</v>
      </c>
      <c r="N244" s="2" t="s">
        <v>1453</v>
      </c>
      <c r="O244" s="2" t="s">
        <v>1453</v>
      </c>
      <c r="P244" s="2" t="s">
        <v>1453</v>
      </c>
      <c r="Q244" s="2" t="s">
        <v>1453</v>
      </c>
    </row>
    <row r="245" spans="1:31" ht="304.5" customHeight="1">
      <c r="A245" s="13">
        <v>154</v>
      </c>
      <c r="B245" s="11" t="s">
        <v>1451</v>
      </c>
      <c r="C245" s="11" t="s">
        <v>2031</v>
      </c>
      <c r="D245" s="32" t="s">
        <v>3459</v>
      </c>
      <c r="E245" s="9"/>
      <c r="F245" s="9">
        <v>4</v>
      </c>
      <c r="G245" s="52" t="s">
        <v>16</v>
      </c>
      <c r="H245" s="9" t="s">
        <v>18</v>
      </c>
      <c r="I245" s="9" t="s">
        <v>473</v>
      </c>
      <c r="J245" s="28" t="s">
        <v>474</v>
      </c>
      <c r="K245" s="76" t="s">
        <v>2032</v>
      </c>
      <c r="L245" s="77" t="s">
        <v>1906</v>
      </c>
      <c r="M245" s="77"/>
      <c r="N245" s="2" t="s">
        <v>475</v>
      </c>
    </row>
    <row r="246" spans="1:31" ht="257.25" customHeight="1">
      <c r="A246" s="13">
        <v>155</v>
      </c>
      <c r="B246" s="11" t="s">
        <v>1239</v>
      </c>
      <c r="C246" s="11" t="s">
        <v>2035</v>
      </c>
      <c r="D246" s="32" t="s">
        <v>2291</v>
      </c>
      <c r="E246" s="12"/>
      <c r="F246" s="110">
        <v>3</v>
      </c>
      <c r="G246" s="52" t="s">
        <v>16</v>
      </c>
      <c r="H246" s="34" t="s">
        <v>18</v>
      </c>
      <c r="I246" s="17" t="s">
        <v>19</v>
      </c>
      <c r="J246" s="30" t="s">
        <v>476</v>
      </c>
      <c r="K246" s="18" t="s">
        <v>2037</v>
      </c>
      <c r="L246" s="19" t="s">
        <v>2000</v>
      </c>
      <c r="M246" s="20"/>
      <c r="N246" s="39" t="s">
        <v>2115</v>
      </c>
      <c r="O246" s="39" t="s">
        <v>2115</v>
      </c>
      <c r="P246" s="39" t="s">
        <v>2115</v>
      </c>
      <c r="Q246" s="39" t="s">
        <v>2115</v>
      </c>
      <c r="R246" s="162" t="s">
        <v>485</v>
      </c>
    </row>
    <row r="247" spans="1:31" ht="264.75" customHeight="1">
      <c r="A247" s="13"/>
      <c r="B247" s="10" t="s">
        <v>1240</v>
      </c>
      <c r="C247" s="10" t="s">
        <v>478</v>
      </c>
      <c r="D247" s="11" t="s">
        <v>1424</v>
      </c>
      <c r="E247" s="12"/>
      <c r="F247" s="12"/>
      <c r="G247" s="52" t="s">
        <v>16</v>
      </c>
      <c r="H247" s="34" t="s">
        <v>18</v>
      </c>
      <c r="I247" s="17" t="s">
        <v>19</v>
      </c>
      <c r="J247" s="28" t="s">
        <v>479</v>
      </c>
      <c r="K247" s="18" t="s">
        <v>1425</v>
      </c>
      <c r="L247" s="56" t="s">
        <v>1426</v>
      </c>
      <c r="M247" s="20"/>
      <c r="N247" s="2" t="s">
        <v>1673</v>
      </c>
      <c r="O247" s="2" t="s">
        <v>1673</v>
      </c>
      <c r="P247" s="2" t="s">
        <v>1673</v>
      </c>
      <c r="Q247" s="2" t="s">
        <v>1673</v>
      </c>
    </row>
    <row r="248" spans="1:31" ht="177" customHeight="1">
      <c r="A248" s="13"/>
      <c r="B248" s="10" t="s">
        <v>1241</v>
      </c>
      <c r="C248" s="93" t="s">
        <v>1488</v>
      </c>
      <c r="D248" s="11" t="s">
        <v>960</v>
      </c>
      <c r="E248" s="12"/>
      <c r="F248" s="12">
        <v>4</v>
      </c>
      <c r="G248" s="12" t="s">
        <v>480</v>
      </c>
      <c r="H248" s="9" t="s">
        <v>481</v>
      </c>
      <c r="I248" s="24" t="s">
        <v>1489</v>
      </c>
      <c r="J248" s="28" t="s">
        <v>482</v>
      </c>
      <c r="K248" s="14">
        <v>44257</v>
      </c>
      <c r="L248" s="19" t="s">
        <v>483</v>
      </c>
      <c r="M248" s="20" t="s">
        <v>393</v>
      </c>
      <c r="N248" s="2">
        <v>9676</v>
      </c>
      <c r="S248" s="3" t="s">
        <v>1651</v>
      </c>
    </row>
    <row r="249" spans="1:31" s="72" customFormat="1" ht="185.25" customHeight="1">
      <c r="A249" s="13"/>
      <c r="B249" s="11" t="s">
        <v>1242</v>
      </c>
      <c r="C249" s="93" t="s">
        <v>1105</v>
      </c>
      <c r="D249" s="32" t="s">
        <v>1851</v>
      </c>
      <c r="E249" s="12"/>
      <c r="F249" s="9">
        <v>4</v>
      </c>
      <c r="G249" s="37" t="s">
        <v>480</v>
      </c>
      <c r="H249" s="9" t="s">
        <v>484</v>
      </c>
      <c r="I249" s="24" t="s">
        <v>420</v>
      </c>
      <c r="J249" s="30" t="s">
        <v>342</v>
      </c>
      <c r="K249" s="18" t="s">
        <v>1514</v>
      </c>
      <c r="L249" s="56" t="s">
        <v>42</v>
      </c>
      <c r="M249" s="25" t="s">
        <v>1375</v>
      </c>
      <c r="N249" s="2">
        <v>7271</v>
      </c>
      <c r="O249" s="3"/>
      <c r="P249" s="3"/>
      <c r="Q249" s="3"/>
      <c r="R249" s="3" t="s">
        <v>2807</v>
      </c>
      <c r="S249" s="3"/>
      <c r="T249" s="3"/>
      <c r="U249" s="3"/>
      <c r="V249" s="3"/>
      <c r="W249" s="3"/>
      <c r="X249" s="3"/>
      <c r="Y249" s="3"/>
      <c r="Z249" s="3"/>
      <c r="AA249" s="3"/>
      <c r="AB249" s="3"/>
      <c r="AC249" s="3"/>
      <c r="AD249" s="3"/>
      <c r="AE249" s="3"/>
    </row>
    <row r="250" spans="1:31" ht="409.5">
      <c r="A250" s="13">
        <v>160</v>
      </c>
      <c r="B250" s="11" t="s">
        <v>3337</v>
      </c>
      <c r="C250" s="11" t="s">
        <v>3338</v>
      </c>
      <c r="D250" s="126" t="s">
        <v>3339</v>
      </c>
      <c r="E250" s="12">
        <v>4</v>
      </c>
      <c r="F250" s="67" t="s">
        <v>485</v>
      </c>
      <c r="G250" s="52" t="s">
        <v>16</v>
      </c>
      <c r="H250" s="34" t="s">
        <v>1490</v>
      </c>
      <c r="I250" s="17" t="s">
        <v>19</v>
      </c>
      <c r="J250" s="30" t="s">
        <v>486</v>
      </c>
      <c r="K250" s="18" t="s">
        <v>3340</v>
      </c>
      <c r="L250" s="19" t="s">
        <v>3341</v>
      </c>
      <c r="M250" s="19" t="s">
        <v>1864</v>
      </c>
      <c r="N250" s="2">
        <v>32714</v>
      </c>
      <c r="Q250" s="3">
        <v>9676</v>
      </c>
      <c r="R250" s="3" t="s">
        <v>3265</v>
      </c>
    </row>
    <row r="251" spans="1:31" ht="128.25" customHeight="1">
      <c r="A251" s="13">
        <v>161</v>
      </c>
      <c r="B251" s="11" t="s">
        <v>3100</v>
      </c>
      <c r="C251" s="11" t="s">
        <v>3101</v>
      </c>
      <c r="D251" s="126" t="s">
        <v>3102</v>
      </c>
      <c r="E251" s="12"/>
      <c r="F251" s="67" t="s">
        <v>485</v>
      </c>
      <c r="G251" s="52" t="s">
        <v>16</v>
      </c>
      <c r="H251" s="34" t="s">
        <v>170</v>
      </c>
      <c r="I251" s="24" t="s">
        <v>571</v>
      </c>
      <c r="J251" s="30" t="s">
        <v>487</v>
      </c>
      <c r="K251" s="18" t="s">
        <v>3099</v>
      </c>
      <c r="L251" s="25"/>
      <c r="M251" s="25" t="s">
        <v>3103</v>
      </c>
      <c r="N251" s="2">
        <v>32714</v>
      </c>
      <c r="Q251" s="2">
        <v>9676</v>
      </c>
      <c r="R251" s="162" t="s">
        <v>485</v>
      </c>
    </row>
    <row r="252" spans="1:31" s="8" customFormat="1" ht="150">
      <c r="A252" s="13"/>
      <c r="B252" s="11" t="s">
        <v>1243</v>
      </c>
      <c r="C252" s="10" t="s">
        <v>488</v>
      </c>
      <c r="D252" s="10" t="s">
        <v>489</v>
      </c>
      <c r="E252" s="12"/>
      <c r="F252" s="67" t="s">
        <v>485</v>
      </c>
      <c r="G252" s="52" t="s">
        <v>16</v>
      </c>
      <c r="H252" s="34" t="s">
        <v>490</v>
      </c>
      <c r="I252" s="9" t="s">
        <v>51</v>
      </c>
      <c r="J252" s="26" t="s">
        <v>491</v>
      </c>
      <c r="K252" s="18" t="s">
        <v>68</v>
      </c>
      <c r="L252" s="25" t="s">
        <v>46</v>
      </c>
      <c r="M252" s="25"/>
      <c r="N252" s="2">
        <v>7277</v>
      </c>
      <c r="O252" s="8">
        <v>4</v>
      </c>
    </row>
    <row r="253" spans="1:31" s="8" customFormat="1" ht="205.5" customHeight="1">
      <c r="A253" s="13">
        <v>163</v>
      </c>
      <c r="B253" s="11" t="s">
        <v>1244</v>
      </c>
      <c r="C253" s="11" t="s">
        <v>1573</v>
      </c>
      <c r="D253" s="126" t="s">
        <v>939</v>
      </c>
      <c r="E253" s="12"/>
      <c r="F253" s="13">
        <v>4</v>
      </c>
      <c r="G253" s="29" t="s">
        <v>492</v>
      </c>
      <c r="H253" s="34" t="s">
        <v>81</v>
      </c>
      <c r="I253" s="24" t="s">
        <v>2063</v>
      </c>
      <c r="J253" s="30" t="s">
        <v>493</v>
      </c>
      <c r="K253" s="67" t="s">
        <v>2064</v>
      </c>
      <c r="L253" s="68"/>
      <c r="M253" s="68" t="s">
        <v>2065</v>
      </c>
      <c r="N253" s="2">
        <v>7271</v>
      </c>
      <c r="Q253" s="8">
        <v>32192</v>
      </c>
      <c r="R253" s="12" t="s">
        <v>2831</v>
      </c>
    </row>
    <row r="254" spans="1:31" s="8" customFormat="1" ht="234.75" customHeight="1">
      <c r="A254" s="13"/>
      <c r="B254" s="11" t="s">
        <v>1400</v>
      </c>
      <c r="C254" s="11" t="s">
        <v>2152</v>
      </c>
      <c r="D254" s="126" t="s">
        <v>494</v>
      </c>
      <c r="E254" s="12"/>
      <c r="F254" s="13">
        <v>4</v>
      </c>
      <c r="G254" s="52" t="s">
        <v>16</v>
      </c>
      <c r="H254" s="34" t="s">
        <v>18</v>
      </c>
      <c r="I254" s="13" t="s">
        <v>19</v>
      </c>
      <c r="J254" s="26" t="s">
        <v>495</v>
      </c>
      <c r="K254" s="76" t="s">
        <v>2148</v>
      </c>
      <c r="L254" s="129" t="s">
        <v>1859</v>
      </c>
      <c r="M254" s="130" t="s">
        <v>2065</v>
      </c>
      <c r="N254" s="2">
        <v>32714</v>
      </c>
      <c r="Q254" s="2">
        <v>32192</v>
      </c>
      <c r="R254" s="326" t="s">
        <v>3167</v>
      </c>
    </row>
    <row r="255" spans="1:31" s="8" customFormat="1" ht="300.75" customHeight="1">
      <c r="A255" s="13"/>
      <c r="B255" s="11" t="s">
        <v>1245</v>
      </c>
      <c r="C255" s="11" t="s">
        <v>2524</v>
      </c>
      <c r="D255" s="126" t="s">
        <v>2525</v>
      </c>
      <c r="E255" s="12"/>
      <c r="F255" s="13">
        <v>4</v>
      </c>
      <c r="G255" s="29" t="s">
        <v>496</v>
      </c>
      <c r="H255" s="34" t="s">
        <v>81</v>
      </c>
      <c r="I255" s="24" t="s">
        <v>1470</v>
      </c>
      <c r="J255" s="26" t="s">
        <v>497</v>
      </c>
      <c r="K255" s="76" t="s">
        <v>2518</v>
      </c>
      <c r="L255" s="20" t="s">
        <v>1074</v>
      </c>
      <c r="M255" s="20" t="s">
        <v>1074</v>
      </c>
      <c r="N255" s="2">
        <v>32714</v>
      </c>
      <c r="Q255" s="2">
        <v>32192</v>
      </c>
      <c r="R255" s="326" t="s">
        <v>3264</v>
      </c>
    </row>
    <row r="256" spans="1:31" s="8" customFormat="1" ht="353.25" customHeight="1">
      <c r="A256" s="13"/>
      <c r="B256" s="11" t="s">
        <v>1246</v>
      </c>
      <c r="C256" s="11" t="s">
        <v>498</v>
      </c>
      <c r="D256" s="126" t="s">
        <v>499</v>
      </c>
      <c r="E256" s="12">
        <v>4</v>
      </c>
      <c r="F256" s="13">
        <v>4</v>
      </c>
      <c r="G256" s="29" t="s">
        <v>500</v>
      </c>
      <c r="H256" s="34" t="s">
        <v>81</v>
      </c>
      <c r="I256" s="13" t="s">
        <v>19</v>
      </c>
      <c r="J256" s="28" t="s">
        <v>501</v>
      </c>
      <c r="K256" s="86" t="s">
        <v>502</v>
      </c>
      <c r="L256" s="97" t="s">
        <v>1675</v>
      </c>
      <c r="M256" s="98"/>
      <c r="N256" s="2"/>
      <c r="Q256" s="2">
        <v>32714</v>
      </c>
    </row>
    <row r="257" spans="1:18" s="8" customFormat="1" ht="172.5" customHeight="1">
      <c r="A257" s="13"/>
      <c r="B257" s="11" t="s">
        <v>1247</v>
      </c>
      <c r="C257" s="11" t="s">
        <v>2078</v>
      </c>
      <c r="D257" s="126" t="s">
        <v>2079</v>
      </c>
      <c r="E257" s="12"/>
      <c r="F257" s="13">
        <v>4</v>
      </c>
      <c r="G257" s="52" t="s">
        <v>16</v>
      </c>
      <c r="H257" s="34" t="s">
        <v>81</v>
      </c>
      <c r="I257" s="24" t="s">
        <v>1468</v>
      </c>
      <c r="J257" s="30" t="s">
        <v>503</v>
      </c>
      <c r="K257" s="18" t="s">
        <v>2071</v>
      </c>
      <c r="L257" s="25" t="s">
        <v>1906</v>
      </c>
      <c r="M257" s="25"/>
      <c r="N257" s="2">
        <v>4860</v>
      </c>
      <c r="Q257" s="2">
        <v>32714</v>
      </c>
      <c r="R257" s="8" t="s">
        <v>3348</v>
      </c>
    </row>
    <row r="258" spans="1:18" s="8" customFormat="1" ht="172.5" customHeight="1">
      <c r="A258" s="13"/>
      <c r="B258" s="11" t="s">
        <v>3079</v>
      </c>
      <c r="C258" s="11" t="s">
        <v>2473</v>
      </c>
      <c r="D258" s="126" t="s">
        <v>2193</v>
      </c>
      <c r="E258" s="12"/>
      <c r="F258" s="13">
        <v>4</v>
      </c>
      <c r="G258" s="52"/>
      <c r="H258" s="34"/>
      <c r="I258" s="24" t="s">
        <v>571</v>
      </c>
      <c r="J258" s="30">
        <v>389683512</v>
      </c>
      <c r="K258" s="18" t="s">
        <v>2194</v>
      </c>
      <c r="L258" s="25"/>
      <c r="M258" s="25" t="s">
        <v>1543</v>
      </c>
      <c r="N258" s="2"/>
      <c r="Q258" s="2">
        <v>32714</v>
      </c>
      <c r="R258" s="327" t="s">
        <v>3052</v>
      </c>
    </row>
    <row r="259" spans="1:18" s="8" customFormat="1" ht="227.25" customHeight="1">
      <c r="A259" s="13">
        <v>166</v>
      </c>
      <c r="B259" s="11" t="s">
        <v>1248</v>
      </c>
      <c r="C259" s="11" t="s">
        <v>504</v>
      </c>
      <c r="D259" s="126" t="s">
        <v>505</v>
      </c>
      <c r="E259" s="12"/>
      <c r="F259" s="13">
        <v>4</v>
      </c>
      <c r="G259" s="52" t="s">
        <v>16</v>
      </c>
      <c r="H259" s="34" t="s">
        <v>81</v>
      </c>
      <c r="I259" s="17" t="s">
        <v>19</v>
      </c>
      <c r="J259" s="30" t="s">
        <v>506</v>
      </c>
      <c r="K259" s="18" t="s">
        <v>1720</v>
      </c>
      <c r="L259" s="25" t="s">
        <v>1676</v>
      </c>
      <c r="M259" s="25"/>
      <c r="N259" s="2">
        <v>4860</v>
      </c>
      <c r="Q259" s="3">
        <v>32714</v>
      </c>
      <c r="R259" s="12" t="s">
        <v>3205</v>
      </c>
    </row>
    <row r="260" spans="1:18" s="8" customFormat="1" ht="409.5" customHeight="1">
      <c r="A260" s="13"/>
      <c r="B260" s="11" t="s">
        <v>2580</v>
      </c>
      <c r="C260" s="11" t="s">
        <v>2581</v>
      </c>
      <c r="D260" s="126" t="s">
        <v>2166</v>
      </c>
      <c r="E260" s="12"/>
      <c r="F260" s="13"/>
      <c r="G260" s="52"/>
      <c r="H260" s="34"/>
      <c r="I260" s="17" t="s">
        <v>571</v>
      </c>
      <c r="J260" s="30"/>
      <c r="K260" s="18" t="s">
        <v>2167</v>
      </c>
      <c r="L260" s="25" t="s">
        <v>2168</v>
      </c>
      <c r="M260" s="25"/>
      <c r="N260" s="2"/>
      <c r="Q260" s="3"/>
      <c r="R260" s="8" t="s">
        <v>2829</v>
      </c>
    </row>
    <row r="261" spans="1:18" s="8" customFormat="1" ht="409.6" customHeight="1">
      <c r="A261" s="13"/>
      <c r="B261" s="11" t="s">
        <v>2578</v>
      </c>
      <c r="C261" s="11" t="s">
        <v>2579</v>
      </c>
      <c r="D261" s="126" t="s">
        <v>2166</v>
      </c>
      <c r="E261" s="12"/>
      <c r="F261" s="13"/>
      <c r="G261" s="52"/>
      <c r="H261" s="34"/>
      <c r="I261" s="17" t="s">
        <v>571</v>
      </c>
      <c r="J261" s="30"/>
      <c r="K261" s="18" t="s">
        <v>2582</v>
      </c>
      <c r="L261" s="25" t="s">
        <v>1592</v>
      </c>
      <c r="M261" s="25"/>
      <c r="N261" s="2"/>
      <c r="Q261" s="3"/>
    </row>
    <row r="262" spans="1:18" ht="356.25" customHeight="1">
      <c r="A262" s="13">
        <v>169</v>
      </c>
      <c r="B262" s="11" t="s">
        <v>1616</v>
      </c>
      <c r="C262" s="11" t="s">
        <v>507</v>
      </c>
      <c r="D262" s="11" t="s">
        <v>1055</v>
      </c>
      <c r="E262" s="13"/>
      <c r="F262" s="9" t="s">
        <v>15</v>
      </c>
      <c r="G262" s="52" t="s">
        <v>16</v>
      </c>
      <c r="H262" s="69" t="s">
        <v>508</v>
      </c>
      <c r="I262" s="13" t="s">
        <v>19</v>
      </c>
      <c r="J262" s="48" t="s">
        <v>509</v>
      </c>
      <c r="K262" s="14">
        <v>44208</v>
      </c>
      <c r="L262" s="25" t="s">
        <v>180</v>
      </c>
      <c r="N262" s="2" t="s">
        <v>297</v>
      </c>
      <c r="R262" s="3" t="s">
        <v>1434</v>
      </c>
    </row>
    <row r="263" spans="1:18" s="131" customFormat="1" ht="318" customHeight="1">
      <c r="A263" s="13"/>
      <c r="B263" s="11" t="s">
        <v>3191</v>
      </c>
      <c r="C263" s="11" t="s">
        <v>3192</v>
      </c>
      <c r="D263" s="11" t="s">
        <v>3193</v>
      </c>
      <c r="E263" s="13">
        <v>7</v>
      </c>
      <c r="F263" s="13">
        <v>3</v>
      </c>
      <c r="G263" s="52" t="s">
        <v>16</v>
      </c>
      <c r="H263" s="34" t="s">
        <v>81</v>
      </c>
      <c r="I263" s="10" t="s">
        <v>51</v>
      </c>
      <c r="J263" s="132" t="s">
        <v>510</v>
      </c>
      <c r="K263" s="18" t="s">
        <v>3190</v>
      </c>
      <c r="L263" s="35" t="s">
        <v>1730</v>
      </c>
      <c r="M263" s="35" t="s">
        <v>1730</v>
      </c>
      <c r="N263" s="2"/>
      <c r="P263" s="2" t="s">
        <v>1403</v>
      </c>
    </row>
    <row r="264" spans="1:18" s="131" customFormat="1" ht="150">
      <c r="A264" s="13"/>
      <c r="B264" s="11" t="s">
        <v>1401</v>
      </c>
      <c r="C264" s="11" t="s">
        <v>511</v>
      </c>
      <c r="D264" s="11" t="s">
        <v>512</v>
      </c>
      <c r="E264" s="13"/>
      <c r="F264" s="13">
        <v>3</v>
      </c>
      <c r="G264" s="52" t="s">
        <v>16</v>
      </c>
      <c r="H264" s="34" t="s">
        <v>513</v>
      </c>
      <c r="I264" s="10" t="s">
        <v>51</v>
      </c>
      <c r="J264" s="132" t="s">
        <v>514</v>
      </c>
      <c r="K264" s="14">
        <v>44078</v>
      </c>
      <c r="L264" s="19" t="s">
        <v>101</v>
      </c>
      <c r="M264" s="20"/>
      <c r="N264" s="2">
        <v>4860</v>
      </c>
      <c r="O264" s="131" t="s">
        <v>938</v>
      </c>
    </row>
    <row r="265" spans="1:18" s="131" customFormat="1" ht="206.25" customHeight="1">
      <c r="A265" s="13"/>
      <c r="B265" s="11" t="s">
        <v>1249</v>
      </c>
      <c r="C265" s="11" t="s">
        <v>515</v>
      </c>
      <c r="D265" s="11" t="s">
        <v>1767</v>
      </c>
      <c r="E265" s="13"/>
      <c r="F265" s="13">
        <v>3</v>
      </c>
      <c r="G265" s="52" t="s">
        <v>16</v>
      </c>
      <c r="H265" s="34" t="s">
        <v>81</v>
      </c>
      <c r="I265" s="10" t="s">
        <v>51</v>
      </c>
      <c r="J265" s="132" t="s">
        <v>516</v>
      </c>
      <c r="K265" s="18" t="s">
        <v>1762</v>
      </c>
      <c r="L265" s="18" t="s">
        <v>1731</v>
      </c>
      <c r="M265" s="18"/>
      <c r="N265" s="2">
        <v>32714</v>
      </c>
      <c r="P265" s="2">
        <v>32192</v>
      </c>
      <c r="R265" s="13" t="s">
        <v>3212</v>
      </c>
    </row>
    <row r="266" spans="1:18" s="131" customFormat="1" ht="409.5">
      <c r="A266" s="13"/>
      <c r="B266" s="11" t="s">
        <v>517</v>
      </c>
      <c r="C266" s="11" t="s">
        <v>518</v>
      </c>
      <c r="D266" s="32" t="s">
        <v>452</v>
      </c>
      <c r="E266" s="13"/>
      <c r="F266" s="13">
        <v>3</v>
      </c>
      <c r="G266" s="52" t="s">
        <v>16</v>
      </c>
      <c r="H266" s="34" t="s">
        <v>81</v>
      </c>
      <c r="I266" s="75" t="s">
        <v>1734</v>
      </c>
      <c r="J266" s="132"/>
      <c r="K266" s="18" t="s">
        <v>1727</v>
      </c>
      <c r="L266" s="25" t="s">
        <v>1676</v>
      </c>
      <c r="M266" s="25"/>
      <c r="N266" s="2">
        <v>4860</v>
      </c>
      <c r="O266" s="131" t="s">
        <v>169</v>
      </c>
      <c r="P266" s="131">
        <v>32192</v>
      </c>
      <c r="R266" s="13" t="s">
        <v>3083</v>
      </c>
    </row>
    <row r="267" spans="1:18" s="131" customFormat="1" ht="181.5" customHeight="1">
      <c r="A267" s="13"/>
      <c r="B267" s="11" t="s">
        <v>1250</v>
      </c>
      <c r="C267" s="11" t="s">
        <v>2463</v>
      </c>
      <c r="D267" s="11" t="s">
        <v>2464</v>
      </c>
      <c r="E267" s="13"/>
      <c r="F267" s="13">
        <v>3</v>
      </c>
      <c r="G267" s="52" t="s">
        <v>16</v>
      </c>
      <c r="H267" s="34" t="s">
        <v>81</v>
      </c>
      <c r="I267" s="121" t="s">
        <v>1491</v>
      </c>
      <c r="J267" s="132" t="s">
        <v>519</v>
      </c>
      <c r="K267" s="18" t="s">
        <v>2453</v>
      </c>
      <c r="L267" s="20" t="s">
        <v>305</v>
      </c>
      <c r="M267" s="20" t="s">
        <v>1074</v>
      </c>
      <c r="N267" s="2">
        <v>32714</v>
      </c>
      <c r="P267" s="2">
        <v>32192</v>
      </c>
      <c r="R267" s="162" t="s">
        <v>2534</v>
      </c>
    </row>
    <row r="268" spans="1:18" s="131" customFormat="1" ht="337.5">
      <c r="A268" s="13"/>
      <c r="B268" s="11" t="s">
        <v>1251</v>
      </c>
      <c r="C268" s="66" t="s">
        <v>520</v>
      </c>
      <c r="D268" s="11" t="s">
        <v>521</v>
      </c>
      <c r="E268" s="13"/>
      <c r="F268" s="13">
        <v>3</v>
      </c>
      <c r="G268" s="52" t="s">
        <v>16</v>
      </c>
      <c r="H268" s="34" t="s">
        <v>81</v>
      </c>
      <c r="I268" s="17" t="s">
        <v>19</v>
      </c>
      <c r="J268" s="26" t="s">
        <v>522</v>
      </c>
      <c r="K268" s="18" t="s">
        <v>151</v>
      </c>
      <c r="L268" s="19"/>
      <c r="M268" s="19" t="s">
        <v>1885</v>
      </c>
      <c r="N268" s="2"/>
      <c r="P268" s="2">
        <v>32192</v>
      </c>
      <c r="Q268" s="19"/>
      <c r="R268" s="13" t="s">
        <v>2986</v>
      </c>
    </row>
    <row r="269" spans="1:18" s="131" customFormat="1" ht="281.25">
      <c r="A269" s="13"/>
      <c r="B269" s="11" t="s">
        <v>1252</v>
      </c>
      <c r="C269" s="11" t="s">
        <v>523</v>
      </c>
      <c r="D269" s="11" t="s">
        <v>1561</v>
      </c>
      <c r="E269" s="13"/>
      <c r="F269" s="13">
        <v>3</v>
      </c>
      <c r="G269" s="52" t="s">
        <v>16</v>
      </c>
      <c r="H269" s="34" t="s">
        <v>81</v>
      </c>
      <c r="I269" s="10" t="s">
        <v>51</v>
      </c>
      <c r="J269" s="132">
        <v>3655.6880000000001</v>
      </c>
      <c r="K269" s="18" t="s">
        <v>1770</v>
      </c>
      <c r="L269" s="20" t="s">
        <v>1730</v>
      </c>
      <c r="M269" s="20"/>
      <c r="N269" s="2">
        <v>32714</v>
      </c>
      <c r="P269" s="2">
        <v>32192</v>
      </c>
      <c r="R269" s="3" t="s">
        <v>3346</v>
      </c>
    </row>
    <row r="270" spans="1:18" s="131" customFormat="1" ht="337.5">
      <c r="A270" s="13"/>
      <c r="B270" s="11" t="s">
        <v>1253</v>
      </c>
      <c r="C270" s="11" t="s">
        <v>1781</v>
      </c>
      <c r="D270" s="11" t="s">
        <v>524</v>
      </c>
      <c r="E270" s="13"/>
      <c r="F270" s="13">
        <v>3</v>
      </c>
      <c r="G270" s="52" t="s">
        <v>16</v>
      </c>
      <c r="H270" s="34" t="s">
        <v>81</v>
      </c>
      <c r="I270" s="24" t="s">
        <v>1491</v>
      </c>
      <c r="J270" s="133" t="s">
        <v>525</v>
      </c>
      <c r="K270" s="18" t="s">
        <v>174</v>
      </c>
      <c r="L270" s="25" t="s">
        <v>1784</v>
      </c>
      <c r="M270" s="25"/>
      <c r="N270" s="2">
        <v>32714</v>
      </c>
      <c r="P270" s="2">
        <v>32192</v>
      </c>
      <c r="R270" s="3" t="s">
        <v>3171</v>
      </c>
    </row>
    <row r="271" spans="1:18" s="131" customFormat="1" ht="409.5">
      <c r="A271" s="13"/>
      <c r="B271" s="11" t="s">
        <v>1254</v>
      </c>
      <c r="C271" s="11" t="s">
        <v>2289</v>
      </c>
      <c r="D271" s="11" t="s">
        <v>2290</v>
      </c>
      <c r="E271" s="13"/>
      <c r="F271" s="13">
        <v>3</v>
      </c>
      <c r="G271" s="52" t="s">
        <v>16</v>
      </c>
      <c r="H271" s="34" t="s">
        <v>81</v>
      </c>
      <c r="I271" s="10" t="s">
        <v>51</v>
      </c>
      <c r="J271" s="132" t="s">
        <v>526</v>
      </c>
      <c r="K271" s="18" t="s">
        <v>1006</v>
      </c>
      <c r="L271" s="20"/>
      <c r="M271" s="20" t="s">
        <v>1634</v>
      </c>
      <c r="N271" s="2">
        <v>32714</v>
      </c>
      <c r="P271" s="2">
        <v>32192</v>
      </c>
      <c r="R271" s="13" t="s">
        <v>3143</v>
      </c>
    </row>
    <row r="272" spans="1:18" s="131" customFormat="1" ht="300">
      <c r="A272" s="13"/>
      <c r="B272" s="11" t="s">
        <v>1166</v>
      </c>
      <c r="C272" s="11" t="s">
        <v>995</v>
      </c>
      <c r="D272" s="31" t="s">
        <v>969</v>
      </c>
      <c r="E272" s="9">
        <v>2</v>
      </c>
      <c r="F272" s="9">
        <v>3</v>
      </c>
      <c r="G272" s="37" t="s">
        <v>16</v>
      </c>
      <c r="H272" s="9" t="s">
        <v>970</v>
      </c>
      <c r="I272" s="28" t="s">
        <v>19</v>
      </c>
      <c r="J272" s="10" t="s">
        <v>971</v>
      </c>
      <c r="K272" s="160" t="s">
        <v>2185</v>
      </c>
      <c r="L272" s="45" t="s">
        <v>2360</v>
      </c>
      <c r="M272" s="20"/>
      <c r="N272" s="2">
        <v>8853</v>
      </c>
      <c r="P272" s="2">
        <v>13569</v>
      </c>
      <c r="Q272" s="2">
        <v>13456</v>
      </c>
    </row>
    <row r="273" spans="1:20" ht="376.5" customHeight="1">
      <c r="A273" s="13">
        <v>172</v>
      </c>
      <c r="B273" s="11" t="s">
        <v>2169</v>
      </c>
      <c r="C273" s="11" t="s">
        <v>527</v>
      </c>
      <c r="D273" s="32" t="s">
        <v>1515</v>
      </c>
      <c r="E273" s="37"/>
      <c r="F273" s="9" t="s">
        <v>15</v>
      </c>
      <c r="G273" s="29" t="s">
        <v>500</v>
      </c>
      <c r="H273" s="9" t="s">
        <v>1493</v>
      </c>
      <c r="I273" s="37" t="s">
        <v>2626</v>
      </c>
      <c r="J273" s="64" t="s">
        <v>528</v>
      </c>
      <c r="K273" s="14">
        <v>44233</v>
      </c>
      <c r="L273" s="45"/>
      <c r="M273" s="45" t="s">
        <v>1011</v>
      </c>
      <c r="N273" s="39" t="s">
        <v>2776</v>
      </c>
      <c r="O273" s="39" t="s">
        <v>2776</v>
      </c>
      <c r="P273" s="39" t="s">
        <v>2776</v>
      </c>
      <c r="Q273" s="39" t="s">
        <v>2776</v>
      </c>
      <c r="R273" s="37" t="s">
        <v>2834</v>
      </c>
    </row>
    <row r="274" spans="1:20" ht="330.75" customHeight="1">
      <c r="A274" s="13"/>
      <c r="B274" s="107" t="s">
        <v>1431</v>
      </c>
      <c r="C274" s="107" t="s">
        <v>2714</v>
      </c>
      <c r="D274" s="345" t="s">
        <v>2715</v>
      </c>
      <c r="E274" s="12"/>
      <c r="F274" s="12" t="s">
        <v>639</v>
      </c>
      <c r="G274" s="37" t="s">
        <v>16</v>
      </c>
      <c r="H274" s="34" t="s">
        <v>81</v>
      </c>
      <c r="I274" s="24" t="s">
        <v>87</v>
      </c>
      <c r="J274" s="64" t="s">
        <v>529</v>
      </c>
      <c r="K274" s="209">
        <v>45971</v>
      </c>
      <c r="L274" s="344" t="s">
        <v>2085</v>
      </c>
      <c r="M274" s="344" t="s">
        <v>2085</v>
      </c>
      <c r="N274" s="2">
        <v>4860</v>
      </c>
      <c r="O274" s="3">
        <v>9676</v>
      </c>
      <c r="Q274" s="2">
        <v>32714</v>
      </c>
      <c r="R274" s="3" t="s">
        <v>3264</v>
      </c>
    </row>
    <row r="275" spans="1:20" ht="267" customHeight="1">
      <c r="A275" s="13">
        <v>174</v>
      </c>
      <c r="B275" s="11" t="s">
        <v>3214</v>
      </c>
      <c r="C275" s="11" t="s">
        <v>3258</v>
      </c>
      <c r="D275" s="135" t="s">
        <v>3215</v>
      </c>
      <c r="E275" s="12">
        <v>4</v>
      </c>
      <c r="F275" s="12">
        <v>2</v>
      </c>
      <c r="G275" s="29" t="s">
        <v>530</v>
      </c>
      <c r="H275" s="34" t="s">
        <v>531</v>
      </c>
      <c r="I275" s="17" t="s">
        <v>19</v>
      </c>
      <c r="J275" s="64" t="s">
        <v>532</v>
      </c>
      <c r="K275" s="18" t="s">
        <v>3213</v>
      </c>
      <c r="L275" s="25" t="s">
        <v>3002</v>
      </c>
      <c r="M275" s="25" t="s">
        <v>3002</v>
      </c>
      <c r="N275" s="39" t="s">
        <v>3390</v>
      </c>
      <c r="O275" s="3">
        <v>9676</v>
      </c>
      <c r="Q275" s="2">
        <v>9676</v>
      </c>
      <c r="R275" s="12">
        <v>4</v>
      </c>
    </row>
    <row r="276" spans="1:20" ht="197.25" customHeight="1">
      <c r="A276" s="13"/>
      <c r="B276" s="11" t="s">
        <v>2076</v>
      </c>
      <c r="C276" s="11" t="s">
        <v>1998</v>
      </c>
      <c r="D276" s="135" t="s">
        <v>1999</v>
      </c>
      <c r="E276" s="12"/>
      <c r="F276" s="12">
        <v>4</v>
      </c>
      <c r="G276" s="37" t="s">
        <v>127</v>
      </c>
      <c r="H276" s="34" t="s">
        <v>81</v>
      </c>
      <c r="I276" s="17" t="s">
        <v>19</v>
      </c>
      <c r="J276" s="64" t="s">
        <v>879</v>
      </c>
      <c r="K276" s="18" t="s">
        <v>2001</v>
      </c>
      <c r="L276" s="27" t="s">
        <v>2000</v>
      </c>
      <c r="N276" s="2">
        <v>32714</v>
      </c>
      <c r="Q276" s="2">
        <v>9676</v>
      </c>
      <c r="R276" s="3" t="s">
        <v>3243</v>
      </c>
    </row>
    <row r="277" spans="1:20" ht="225">
      <c r="A277" s="13">
        <v>175</v>
      </c>
      <c r="B277" s="11" t="s">
        <v>1255</v>
      </c>
      <c r="C277" s="11" t="s">
        <v>2742</v>
      </c>
      <c r="D277" s="350" t="s">
        <v>1449</v>
      </c>
      <c r="E277" s="12"/>
      <c r="F277" s="12">
        <v>4</v>
      </c>
      <c r="G277" s="37" t="s">
        <v>127</v>
      </c>
      <c r="H277" s="34" t="s">
        <v>81</v>
      </c>
      <c r="I277" s="17" t="s">
        <v>19</v>
      </c>
      <c r="J277" s="26" t="s">
        <v>534</v>
      </c>
      <c r="K277" s="122" t="s">
        <v>924</v>
      </c>
      <c r="L277" s="344" t="s">
        <v>1717</v>
      </c>
      <c r="M277" s="344" t="s">
        <v>1717</v>
      </c>
      <c r="N277" s="2">
        <v>4860</v>
      </c>
      <c r="Q277" s="3">
        <v>32714</v>
      </c>
      <c r="R277" s="3" t="s">
        <v>3264</v>
      </c>
    </row>
    <row r="278" spans="1:20" ht="270.75" customHeight="1">
      <c r="A278" s="13">
        <v>178</v>
      </c>
      <c r="B278" s="11" t="s">
        <v>1256</v>
      </c>
      <c r="C278" s="137" t="s">
        <v>2356</v>
      </c>
      <c r="D278" s="32" t="s">
        <v>535</v>
      </c>
      <c r="E278" s="12"/>
      <c r="F278" s="12">
        <v>3</v>
      </c>
      <c r="G278" s="37" t="s">
        <v>16</v>
      </c>
      <c r="H278" s="34" t="s">
        <v>894</v>
      </c>
      <c r="I278" s="17" t="s">
        <v>19</v>
      </c>
      <c r="J278" s="28" t="s">
        <v>536</v>
      </c>
      <c r="K278" s="18" t="s">
        <v>1872</v>
      </c>
      <c r="L278" s="20"/>
      <c r="M278" s="20" t="s">
        <v>1676</v>
      </c>
      <c r="N278" s="2">
        <v>32785</v>
      </c>
      <c r="P278" s="2">
        <v>32785</v>
      </c>
      <c r="R278" s="12" t="s">
        <v>3056</v>
      </c>
    </row>
    <row r="279" spans="1:20" ht="206.25" customHeight="1">
      <c r="A279" s="13"/>
      <c r="B279" s="11" t="s">
        <v>1853</v>
      </c>
      <c r="C279" s="11" t="s">
        <v>1854</v>
      </c>
      <c r="D279" s="32" t="s">
        <v>1855</v>
      </c>
      <c r="E279" s="12"/>
      <c r="F279" s="12"/>
      <c r="G279" s="37" t="s">
        <v>16</v>
      </c>
      <c r="H279" s="34" t="s">
        <v>96</v>
      </c>
      <c r="I279" s="17" t="s">
        <v>571</v>
      </c>
      <c r="J279" s="28" t="s">
        <v>537</v>
      </c>
      <c r="K279" s="14" t="s">
        <v>1856</v>
      </c>
      <c r="L279" s="19"/>
      <c r="M279" s="19" t="s">
        <v>1857</v>
      </c>
      <c r="N279" s="2">
        <v>32785</v>
      </c>
      <c r="P279" s="2">
        <v>32785</v>
      </c>
      <c r="R279" s="3" t="s">
        <v>2509</v>
      </c>
      <c r="T279" s="3" t="s">
        <v>1423</v>
      </c>
    </row>
    <row r="280" spans="1:20" ht="337.5">
      <c r="A280" s="13"/>
      <c r="B280" s="11" t="s">
        <v>1611</v>
      </c>
      <c r="C280" s="328" t="s">
        <v>2508</v>
      </c>
      <c r="D280" s="32" t="s">
        <v>2841</v>
      </c>
      <c r="E280" s="12"/>
      <c r="F280" s="37" t="s">
        <v>15</v>
      </c>
      <c r="G280" s="37" t="s">
        <v>16</v>
      </c>
      <c r="H280" s="34" t="s">
        <v>96</v>
      </c>
      <c r="I280" s="17" t="s">
        <v>55</v>
      </c>
      <c r="J280" s="28" t="s">
        <v>538</v>
      </c>
      <c r="K280" s="18" t="s">
        <v>2850</v>
      </c>
      <c r="L280" s="25" t="s">
        <v>1592</v>
      </c>
      <c r="M280" s="25" t="s">
        <v>1592</v>
      </c>
      <c r="N280" s="357" t="s">
        <v>3160</v>
      </c>
      <c r="O280" s="99" t="s">
        <v>3160</v>
      </c>
      <c r="P280" s="99" t="s">
        <v>3160</v>
      </c>
      <c r="Q280" s="99" t="s">
        <v>3160</v>
      </c>
      <c r="R280" s="12" t="s">
        <v>3157</v>
      </c>
    </row>
    <row r="281" spans="1:20" ht="120" customHeight="1">
      <c r="A281" s="13"/>
      <c r="B281" s="11" t="s">
        <v>2091</v>
      </c>
      <c r="C281" s="11" t="s">
        <v>2640</v>
      </c>
      <c r="D281" s="32" t="s">
        <v>2641</v>
      </c>
      <c r="E281" s="12">
        <v>4</v>
      </c>
      <c r="F281" s="12">
        <v>3</v>
      </c>
      <c r="G281" s="52" t="s">
        <v>16</v>
      </c>
      <c r="H281" s="34" t="s">
        <v>96</v>
      </c>
      <c r="I281" s="17" t="s">
        <v>2642</v>
      </c>
      <c r="J281" s="28" t="s">
        <v>539</v>
      </c>
      <c r="K281" s="18" t="s">
        <v>1950</v>
      </c>
      <c r="L281" s="20" t="s">
        <v>2558</v>
      </c>
      <c r="M281" s="20" t="s">
        <v>80</v>
      </c>
      <c r="N281" s="2">
        <v>32785</v>
      </c>
      <c r="P281" s="2">
        <v>32785</v>
      </c>
      <c r="R281" s="3" t="s">
        <v>2050</v>
      </c>
    </row>
    <row r="282" spans="1:20" ht="300">
      <c r="A282" s="13"/>
      <c r="B282" s="11" t="s">
        <v>1257</v>
      </c>
      <c r="C282" s="11" t="s">
        <v>2727</v>
      </c>
      <c r="D282" s="32" t="s">
        <v>2556</v>
      </c>
      <c r="E282" s="162" t="s">
        <v>485</v>
      </c>
      <c r="F282" s="12">
        <v>3</v>
      </c>
      <c r="G282" s="52" t="s">
        <v>16</v>
      </c>
      <c r="H282" s="34" t="s">
        <v>81</v>
      </c>
      <c r="I282" s="17" t="s">
        <v>19</v>
      </c>
      <c r="J282" s="28" t="s">
        <v>541</v>
      </c>
      <c r="K282" s="18" t="s">
        <v>2557</v>
      </c>
      <c r="L282" s="19" t="s">
        <v>2558</v>
      </c>
      <c r="M282" s="19" t="s">
        <v>2558</v>
      </c>
      <c r="P282" s="2" t="s">
        <v>1403</v>
      </c>
      <c r="R282" s="162" t="s">
        <v>485</v>
      </c>
    </row>
    <row r="283" spans="1:20" ht="409.5">
      <c r="A283" s="13"/>
      <c r="B283" s="11" t="s">
        <v>2734</v>
      </c>
      <c r="C283" s="11" t="s">
        <v>2735</v>
      </c>
      <c r="D283" s="11" t="s">
        <v>2736</v>
      </c>
      <c r="E283" s="9"/>
      <c r="F283" s="9">
        <v>3</v>
      </c>
      <c r="G283" s="52"/>
      <c r="H283" s="9"/>
      <c r="I283" s="17" t="s">
        <v>3008</v>
      </c>
      <c r="J283" s="26"/>
      <c r="K283" s="119">
        <v>45979</v>
      </c>
      <c r="L283" s="349" t="s">
        <v>2595</v>
      </c>
      <c r="M283" s="349" t="s">
        <v>2595</v>
      </c>
      <c r="P283" s="3">
        <v>32785</v>
      </c>
      <c r="R283" s="9" t="s">
        <v>3124</v>
      </c>
    </row>
    <row r="284" spans="1:20" ht="150">
      <c r="A284" s="13"/>
      <c r="B284" s="11" t="s">
        <v>1402</v>
      </c>
      <c r="C284" s="11" t="s">
        <v>1494</v>
      </c>
      <c r="D284" s="11" t="s">
        <v>542</v>
      </c>
      <c r="E284" s="13"/>
      <c r="F284" s="13">
        <v>4</v>
      </c>
      <c r="G284" s="52" t="s">
        <v>16</v>
      </c>
      <c r="H284" s="34" t="s">
        <v>170</v>
      </c>
      <c r="I284" s="17" t="s">
        <v>19</v>
      </c>
      <c r="J284" s="26" t="s">
        <v>543</v>
      </c>
      <c r="K284" s="76" t="s">
        <v>883</v>
      </c>
      <c r="L284" s="19" t="s">
        <v>540</v>
      </c>
      <c r="M284" s="20"/>
      <c r="N284" s="2">
        <v>32714</v>
      </c>
      <c r="O284" s="3" t="s">
        <v>240</v>
      </c>
      <c r="P284" s="50" t="s">
        <v>82</v>
      </c>
      <c r="Q284" s="19" t="s">
        <v>72</v>
      </c>
      <c r="R284" s="3" t="s">
        <v>1002</v>
      </c>
    </row>
    <row r="285" spans="1:20" ht="201.75" customHeight="1">
      <c r="A285" s="13"/>
      <c r="B285" s="11" t="s">
        <v>2540</v>
      </c>
      <c r="C285" s="10" t="s">
        <v>2693</v>
      </c>
      <c r="D285" s="11" t="s">
        <v>544</v>
      </c>
      <c r="E285" s="13"/>
      <c r="F285" s="13">
        <v>4</v>
      </c>
      <c r="G285" s="52" t="s">
        <v>16</v>
      </c>
      <c r="H285" s="9" t="s">
        <v>545</v>
      </c>
      <c r="I285" s="24" t="s">
        <v>1468</v>
      </c>
      <c r="J285" s="26" t="s">
        <v>546</v>
      </c>
      <c r="K285" s="18" t="s">
        <v>1682</v>
      </c>
      <c r="L285" s="214"/>
      <c r="M285" s="214" t="s">
        <v>1534</v>
      </c>
      <c r="N285" s="2">
        <v>32714</v>
      </c>
      <c r="Q285" s="2">
        <v>9676</v>
      </c>
      <c r="R285" s="162" t="s">
        <v>2831</v>
      </c>
    </row>
    <row r="286" spans="1:20" ht="132" customHeight="1">
      <c r="A286" s="13"/>
      <c r="B286" s="11" t="s">
        <v>2876</v>
      </c>
      <c r="C286" s="11" t="s">
        <v>2877</v>
      </c>
      <c r="D286" s="11" t="s">
        <v>2878</v>
      </c>
      <c r="E286" s="13">
        <v>4</v>
      </c>
      <c r="F286" s="13">
        <v>4</v>
      </c>
      <c r="G286" s="52" t="s">
        <v>16</v>
      </c>
      <c r="H286" s="9" t="s">
        <v>547</v>
      </c>
      <c r="I286" s="24" t="s">
        <v>1495</v>
      </c>
      <c r="J286" s="26" t="s">
        <v>548</v>
      </c>
      <c r="K286" s="76" t="s">
        <v>2869</v>
      </c>
      <c r="L286" s="20"/>
      <c r="M286" s="20" t="s">
        <v>2595</v>
      </c>
      <c r="N286" s="2">
        <v>32714</v>
      </c>
      <c r="Q286" s="3">
        <v>9676</v>
      </c>
      <c r="R286" s="13">
        <v>4</v>
      </c>
    </row>
    <row r="287" spans="1:20" ht="132" customHeight="1">
      <c r="A287" s="13"/>
      <c r="B287" s="11" t="s">
        <v>2153</v>
      </c>
      <c r="C287" s="11" t="s">
        <v>2154</v>
      </c>
      <c r="D287" s="11" t="s">
        <v>2155</v>
      </c>
      <c r="E287" s="13"/>
      <c r="F287" s="13">
        <v>3</v>
      </c>
      <c r="G287" s="52"/>
      <c r="H287" s="9"/>
      <c r="I287" s="24" t="s">
        <v>2007</v>
      </c>
      <c r="J287" s="26"/>
      <c r="K287" s="76" t="s">
        <v>2148</v>
      </c>
      <c r="L287" s="20" t="s">
        <v>2085</v>
      </c>
      <c r="M287" s="20"/>
      <c r="P287" s="3">
        <v>9676</v>
      </c>
      <c r="R287" s="162" t="s">
        <v>2570</v>
      </c>
    </row>
    <row r="288" spans="1:20" ht="132" customHeight="1">
      <c r="A288" s="13"/>
      <c r="B288" s="11" t="s">
        <v>2437</v>
      </c>
      <c r="C288" s="11" t="s">
        <v>2156</v>
      </c>
      <c r="D288" s="11" t="s">
        <v>2157</v>
      </c>
      <c r="E288" s="13"/>
      <c r="F288" s="13">
        <v>4</v>
      </c>
      <c r="G288" s="52"/>
      <c r="H288" s="9"/>
      <c r="I288" s="24" t="s">
        <v>2023</v>
      </c>
      <c r="J288" s="26"/>
      <c r="K288" s="76" t="s">
        <v>2148</v>
      </c>
      <c r="L288" s="20" t="s">
        <v>2158</v>
      </c>
      <c r="M288" s="20"/>
      <c r="Q288" s="3">
        <v>32192</v>
      </c>
      <c r="R288" s="162" t="s">
        <v>2534</v>
      </c>
    </row>
    <row r="289" spans="1:18" ht="137.25" customHeight="1">
      <c r="A289" s="13">
        <v>11</v>
      </c>
      <c r="B289" s="11" t="s">
        <v>3057</v>
      </c>
      <c r="C289" s="10" t="s">
        <v>3058</v>
      </c>
      <c r="D289" s="32" t="s">
        <v>3059</v>
      </c>
      <c r="E289" s="12">
        <v>4</v>
      </c>
      <c r="F289" s="9">
        <v>3</v>
      </c>
      <c r="G289" s="12" t="s">
        <v>16</v>
      </c>
      <c r="H289" s="34" t="s">
        <v>124</v>
      </c>
      <c r="I289" s="24" t="s">
        <v>1496</v>
      </c>
      <c r="J289" s="89" t="s">
        <v>549</v>
      </c>
      <c r="K289" s="18" t="s">
        <v>1728</v>
      </c>
      <c r="L289" s="25"/>
      <c r="M289" s="25" t="s">
        <v>3002</v>
      </c>
      <c r="N289" s="2">
        <v>32785</v>
      </c>
      <c r="O289" s="3">
        <v>4</v>
      </c>
      <c r="P289" s="3">
        <v>32785</v>
      </c>
    </row>
    <row r="290" spans="1:18" ht="180.75" customHeight="1">
      <c r="A290" s="13"/>
      <c r="B290" s="11" t="s">
        <v>2632</v>
      </c>
      <c r="C290" s="74" t="s">
        <v>2633</v>
      </c>
      <c r="D290" s="32" t="s">
        <v>2634</v>
      </c>
      <c r="E290" s="12">
        <v>4</v>
      </c>
      <c r="F290" s="9">
        <v>3</v>
      </c>
      <c r="G290" s="12" t="s">
        <v>16</v>
      </c>
      <c r="H290" s="34" t="s">
        <v>18</v>
      </c>
      <c r="I290" s="24" t="s">
        <v>1929</v>
      </c>
      <c r="J290" s="89" t="s">
        <v>550</v>
      </c>
      <c r="K290" s="76" t="s">
        <v>1950</v>
      </c>
      <c r="L290" s="77" t="s">
        <v>2558</v>
      </c>
      <c r="M290" s="77" t="s">
        <v>80</v>
      </c>
      <c r="N290" s="2">
        <v>32192</v>
      </c>
      <c r="P290" s="3">
        <v>32785</v>
      </c>
      <c r="R290" s="162" t="s">
        <v>2598</v>
      </c>
    </row>
    <row r="291" spans="1:18" ht="124.5" customHeight="1">
      <c r="A291" s="13">
        <v>12</v>
      </c>
      <c r="B291" s="11" t="s">
        <v>1118</v>
      </c>
      <c r="C291" s="10" t="s">
        <v>2898</v>
      </c>
      <c r="D291" s="66" t="s">
        <v>2899</v>
      </c>
      <c r="E291" s="12">
        <v>4</v>
      </c>
      <c r="F291" s="9">
        <v>3</v>
      </c>
      <c r="G291" s="37" t="s">
        <v>551</v>
      </c>
      <c r="H291" s="34" t="s">
        <v>81</v>
      </c>
      <c r="I291" s="17" t="s">
        <v>2902</v>
      </c>
      <c r="J291" s="89" t="s">
        <v>552</v>
      </c>
      <c r="K291" s="18" t="s">
        <v>2229</v>
      </c>
      <c r="L291" s="20" t="s">
        <v>2845</v>
      </c>
      <c r="M291" s="20" t="s">
        <v>2845</v>
      </c>
      <c r="N291" s="2">
        <v>32785</v>
      </c>
      <c r="P291" s="3">
        <v>32785</v>
      </c>
      <c r="Q291" s="2">
        <v>32785</v>
      </c>
      <c r="R291" s="12">
        <v>4</v>
      </c>
    </row>
    <row r="292" spans="1:18" ht="168.75">
      <c r="A292" s="13"/>
      <c r="B292" s="11" t="s">
        <v>2382</v>
      </c>
      <c r="C292" s="10" t="s">
        <v>2383</v>
      </c>
      <c r="D292" s="66" t="s">
        <v>2384</v>
      </c>
      <c r="E292" s="12">
        <v>4</v>
      </c>
      <c r="F292" s="9">
        <v>3</v>
      </c>
      <c r="G292" s="12" t="s">
        <v>16</v>
      </c>
      <c r="H292" s="34" t="s">
        <v>81</v>
      </c>
      <c r="I292" s="24" t="s">
        <v>2385</v>
      </c>
      <c r="J292" s="64" t="s">
        <v>553</v>
      </c>
      <c r="K292" s="18" t="s">
        <v>2378</v>
      </c>
      <c r="L292" s="25" t="s">
        <v>1871</v>
      </c>
      <c r="M292" s="25" t="s">
        <v>1871</v>
      </c>
      <c r="N292" s="2">
        <v>32785</v>
      </c>
      <c r="P292" s="3">
        <v>32785</v>
      </c>
    </row>
    <row r="293" spans="1:18" ht="141.75" customHeight="1">
      <c r="A293" s="13">
        <v>181</v>
      </c>
      <c r="B293" s="11" t="s">
        <v>2480</v>
      </c>
      <c r="C293" s="11" t="s">
        <v>555</v>
      </c>
      <c r="D293" s="11" t="s">
        <v>1769</v>
      </c>
      <c r="E293" s="13"/>
      <c r="F293" s="13">
        <v>1</v>
      </c>
      <c r="G293" s="29" t="s">
        <v>556</v>
      </c>
      <c r="H293" s="139" t="s">
        <v>96</v>
      </c>
      <c r="I293" s="75" t="s">
        <v>212</v>
      </c>
      <c r="J293" s="76" t="s">
        <v>557</v>
      </c>
      <c r="K293" s="18" t="s">
        <v>1770</v>
      </c>
      <c r="L293" s="25" t="s">
        <v>1731</v>
      </c>
      <c r="M293" s="25"/>
      <c r="N293" s="162" t="s">
        <v>2442</v>
      </c>
      <c r="O293" s="3">
        <v>32714</v>
      </c>
      <c r="R293" s="13" t="s">
        <v>3143</v>
      </c>
    </row>
    <row r="294" spans="1:18" ht="409.5">
      <c r="A294" s="13">
        <v>182</v>
      </c>
      <c r="B294" s="140" t="s">
        <v>1258</v>
      </c>
      <c r="C294" s="141" t="s">
        <v>1080</v>
      </c>
      <c r="D294" s="32" t="s">
        <v>2215</v>
      </c>
      <c r="E294" s="12"/>
      <c r="F294" s="12">
        <v>4</v>
      </c>
      <c r="G294" s="52" t="s">
        <v>16</v>
      </c>
      <c r="H294" s="34" t="s">
        <v>558</v>
      </c>
      <c r="I294" s="9" t="s">
        <v>51</v>
      </c>
      <c r="J294" s="30" t="s">
        <v>559</v>
      </c>
      <c r="K294" s="67" t="s">
        <v>2111</v>
      </c>
      <c r="L294" s="27" t="s">
        <v>2000</v>
      </c>
      <c r="M294" s="84"/>
      <c r="N294" s="2">
        <v>4860</v>
      </c>
      <c r="Q294" s="3">
        <v>32714</v>
      </c>
      <c r="R294" s="162" t="s">
        <v>2782</v>
      </c>
    </row>
    <row r="295" spans="1:18" ht="281.25">
      <c r="A295" s="13"/>
      <c r="B295" s="11" t="s">
        <v>1259</v>
      </c>
      <c r="C295" s="11" t="s">
        <v>2940</v>
      </c>
      <c r="D295" s="32" t="s">
        <v>2941</v>
      </c>
      <c r="E295" s="12">
        <v>4</v>
      </c>
      <c r="F295" s="12">
        <v>4</v>
      </c>
      <c r="G295" s="52" t="s">
        <v>16</v>
      </c>
      <c r="H295" s="34" t="s">
        <v>558</v>
      </c>
      <c r="I295" s="9" t="s">
        <v>51</v>
      </c>
      <c r="J295" s="26"/>
      <c r="K295" s="67" t="s">
        <v>2934</v>
      </c>
      <c r="L295" s="19"/>
      <c r="M295" s="19" t="s">
        <v>2595</v>
      </c>
      <c r="N295" s="2">
        <v>32714</v>
      </c>
      <c r="Q295" s="2">
        <v>32192</v>
      </c>
      <c r="R295" s="162" t="s">
        <v>485</v>
      </c>
    </row>
    <row r="296" spans="1:18" ht="205.5" customHeight="1">
      <c r="A296" s="13"/>
      <c r="B296" s="11" t="s">
        <v>1260</v>
      </c>
      <c r="C296" s="11" t="s">
        <v>560</v>
      </c>
      <c r="D296" s="32" t="s">
        <v>1441</v>
      </c>
      <c r="E296" s="12"/>
      <c r="F296" s="12">
        <v>1</v>
      </c>
      <c r="G296" s="52" t="s">
        <v>16</v>
      </c>
      <c r="H296" s="34" t="s">
        <v>558</v>
      </c>
      <c r="I296" s="9" t="s">
        <v>51</v>
      </c>
      <c r="J296" s="26"/>
      <c r="K296" s="67" t="s">
        <v>1435</v>
      </c>
      <c r="L296" s="20" t="s">
        <v>1375</v>
      </c>
      <c r="M296" s="20"/>
      <c r="N296" s="2">
        <v>32785</v>
      </c>
      <c r="R296" s="3" t="s">
        <v>1812</v>
      </c>
    </row>
    <row r="297" spans="1:18" ht="177" customHeight="1">
      <c r="A297" s="13">
        <v>183</v>
      </c>
      <c r="B297" s="11" t="s">
        <v>1738</v>
      </c>
      <c r="C297" s="11" t="s">
        <v>561</v>
      </c>
      <c r="D297" s="32" t="s">
        <v>1790</v>
      </c>
      <c r="E297" s="12"/>
      <c r="F297" s="12">
        <v>4</v>
      </c>
      <c r="G297" s="52" t="s">
        <v>16</v>
      </c>
      <c r="H297" s="34" t="s">
        <v>124</v>
      </c>
      <c r="I297" s="9" t="s">
        <v>51</v>
      </c>
      <c r="J297" s="26">
        <v>6502475859</v>
      </c>
      <c r="K297" s="18" t="s">
        <v>1735</v>
      </c>
      <c r="L297" s="25" t="s">
        <v>1676</v>
      </c>
      <c r="M297" s="25"/>
      <c r="N297" s="2">
        <v>32714</v>
      </c>
      <c r="Q297" s="3">
        <v>9676</v>
      </c>
      <c r="R297" s="12" t="s">
        <v>3167</v>
      </c>
    </row>
    <row r="298" spans="1:18" ht="409.5">
      <c r="A298" s="13"/>
      <c r="B298" s="11" t="s">
        <v>1261</v>
      </c>
      <c r="C298" s="11" t="s">
        <v>2057</v>
      </c>
      <c r="D298" s="111" t="s">
        <v>562</v>
      </c>
      <c r="E298" s="12"/>
      <c r="F298" s="12">
        <v>4</v>
      </c>
      <c r="G298" s="52" t="s">
        <v>16</v>
      </c>
      <c r="H298" s="34" t="s">
        <v>558</v>
      </c>
      <c r="I298" s="9" t="s">
        <v>51</v>
      </c>
      <c r="J298" s="26"/>
      <c r="K298" s="18" t="s">
        <v>2053</v>
      </c>
      <c r="L298" s="124" t="s">
        <v>1864</v>
      </c>
      <c r="M298" s="20"/>
      <c r="N298" s="2">
        <v>32714</v>
      </c>
      <c r="Q298" s="3">
        <v>9676</v>
      </c>
      <c r="R298" s="162" t="s">
        <v>2691</v>
      </c>
    </row>
    <row r="299" spans="1:18" ht="232.5" customHeight="1">
      <c r="A299" s="13"/>
      <c r="B299" s="11" t="s">
        <v>1262</v>
      </c>
      <c r="C299" s="11" t="s">
        <v>2930</v>
      </c>
      <c r="D299" s="31" t="s">
        <v>563</v>
      </c>
      <c r="E299" s="12"/>
      <c r="F299" s="37">
        <v>4</v>
      </c>
      <c r="G299" s="37" t="s">
        <v>16</v>
      </c>
      <c r="H299" s="34" t="s">
        <v>96</v>
      </c>
      <c r="I299" s="17" t="s">
        <v>564</v>
      </c>
      <c r="J299" s="143">
        <v>6502220900</v>
      </c>
      <c r="K299" s="18" t="s">
        <v>2066</v>
      </c>
      <c r="L299" s="114" t="s">
        <v>1771</v>
      </c>
      <c r="M299" s="144"/>
      <c r="N299" s="2">
        <v>32785</v>
      </c>
      <c r="O299" s="2">
        <v>32785</v>
      </c>
      <c r="P299" s="2">
        <v>32785</v>
      </c>
      <c r="Q299" s="2">
        <v>32785</v>
      </c>
      <c r="R299" s="3" t="s">
        <v>3182</v>
      </c>
    </row>
    <row r="300" spans="1:18" ht="337.5">
      <c r="A300" s="13"/>
      <c r="B300" s="11" t="s">
        <v>1263</v>
      </c>
      <c r="C300" s="11" t="s">
        <v>2150</v>
      </c>
      <c r="D300" s="31" t="s">
        <v>565</v>
      </c>
      <c r="E300" s="12"/>
      <c r="F300" s="37">
        <v>2</v>
      </c>
      <c r="G300" s="37" t="s">
        <v>16</v>
      </c>
      <c r="H300" s="34" t="s">
        <v>96</v>
      </c>
      <c r="I300" s="24" t="s">
        <v>1473</v>
      </c>
      <c r="J300" s="143" t="s">
        <v>566</v>
      </c>
      <c r="K300" s="18" t="s">
        <v>2148</v>
      </c>
      <c r="L300" s="25" t="s">
        <v>1771</v>
      </c>
      <c r="M300" s="25" t="s">
        <v>1859</v>
      </c>
      <c r="N300" s="2">
        <v>32714</v>
      </c>
      <c r="O300" s="2">
        <v>32192</v>
      </c>
      <c r="R300" s="3" t="s">
        <v>3170</v>
      </c>
    </row>
    <row r="301" spans="1:18" ht="282" customHeight="1">
      <c r="A301" s="13"/>
      <c r="B301" s="11" t="s">
        <v>1264</v>
      </c>
      <c r="C301" s="11" t="s">
        <v>567</v>
      </c>
      <c r="D301" s="31" t="s">
        <v>1972</v>
      </c>
      <c r="E301" s="12"/>
      <c r="F301" s="37">
        <v>4</v>
      </c>
      <c r="G301" s="37" t="s">
        <v>16</v>
      </c>
      <c r="H301" s="34" t="s">
        <v>96</v>
      </c>
      <c r="I301" s="24" t="s">
        <v>1470</v>
      </c>
      <c r="J301" s="143">
        <v>6503803051</v>
      </c>
      <c r="K301" s="18">
        <v>45575</v>
      </c>
      <c r="L301" s="20" t="s">
        <v>1859</v>
      </c>
      <c r="M301" s="20" t="s">
        <v>1859</v>
      </c>
      <c r="N301" s="2">
        <v>32785</v>
      </c>
      <c r="Q301" s="2">
        <v>32785</v>
      </c>
      <c r="R301" s="3" t="s">
        <v>3172</v>
      </c>
    </row>
    <row r="302" spans="1:18" ht="261.75" customHeight="1">
      <c r="A302" s="13"/>
      <c r="B302" s="11" t="s">
        <v>1265</v>
      </c>
      <c r="C302" s="11" t="s">
        <v>568</v>
      </c>
      <c r="D302" s="32" t="s">
        <v>569</v>
      </c>
      <c r="E302" s="12"/>
      <c r="F302" s="12">
        <v>4</v>
      </c>
      <c r="G302" s="37" t="s">
        <v>16</v>
      </c>
      <c r="H302" s="34" t="s">
        <v>96</v>
      </c>
      <c r="I302" s="58" t="s">
        <v>570</v>
      </c>
      <c r="J302" s="28"/>
      <c r="K302" s="14" t="s">
        <v>354</v>
      </c>
      <c r="L302" s="20" t="s">
        <v>1634</v>
      </c>
      <c r="M302" s="20"/>
      <c r="N302" s="2">
        <v>32192</v>
      </c>
      <c r="R302" s="3" t="s">
        <v>2830</v>
      </c>
    </row>
    <row r="303" spans="1:18" ht="409.5">
      <c r="A303" s="13"/>
      <c r="B303" s="11" t="s">
        <v>3455</v>
      </c>
      <c r="C303" s="11" t="s">
        <v>3453</v>
      </c>
      <c r="D303" s="189" t="s">
        <v>3456</v>
      </c>
      <c r="E303" s="12"/>
      <c r="F303" s="12"/>
      <c r="G303" s="37" t="s">
        <v>16</v>
      </c>
      <c r="H303" s="34" t="s">
        <v>96</v>
      </c>
      <c r="I303" s="69" t="s">
        <v>767</v>
      </c>
      <c r="J303" s="28"/>
      <c r="K303" s="18" t="s">
        <v>3451</v>
      </c>
      <c r="L303" s="123" t="s">
        <v>2565</v>
      </c>
      <c r="M303" s="123" t="s">
        <v>3454</v>
      </c>
      <c r="N303" s="2" t="s">
        <v>423</v>
      </c>
    </row>
    <row r="304" spans="1:18" ht="217.5" customHeight="1">
      <c r="A304" s="13"/>
      <c r="B304" s="11" t="s">
        <v>2651</v>
      </c>
      <c r="C304" s="11" t="s">
        <v>2652</v>
      </c>
      <c r="D304" s="31" t="s">
        <v>2653</v>
      </c>
      <c r="E304" s="12">
        <v>4</v>
      </c>
      <c r="F304" s="37">
        <v>4</v>
      </c>
      <c r="G304" s="37" t="s">
        <v>16</v>
      </c>
      <c r="H304" s="34" t="s">
        <v>96</v>
      </c>
      <c r="I304" s="17" t="s">
        <v>572</v>
      </c>
      <c r="J304" s="143">
        <v>6503803059</v>
      </c>
      <c r="K304" s="18" t="s">
        <v>2654</v>
      </c>
      <c r="L304" s="130" t="s">
        <v>1717</v>
      </c>
      <c r="M304" s="130"/>
      <c r="N304" s="2">
        <v>32785</v>
      </c>
      <c r="P304" s="2">
        <v>32785</v>
      </c>
      <c r="Q304" s="2">
        <v>32785</v>
      </c>
    </row>
    <row r="305" spans="1:18" ht="375">
      <c r="A305" s="13"/>
      <c r="B305" s="11" t="s">
        <v>1266</v>
      </c>
      <c r="C305" s="11" t="s">
        <v>2099</v>
      </c>
      <c r="D305" s="31" t="s">
        <v>574</v>
      </c>
      <c r="E305" s="12">
        <v>7</v>
      </c>
      <c r="F305" s="37">
        <v>4</v>
      </c>
      <c r="G305" s="37" t="s">
        <v>16</v>
      </c>
      <c r="H305" s="34" t="s">
        <v>96</v>
      </c>
      <c r="I305" s="24" t="s">
        <v>1497</v>
      </c>
      <c r="J305" s="143" t="s">
        <v>575</v>
      </c>
      <c r="K305" s="14" t="s">
        <v>2095</v>
      </c>
      <c r="L305" s="20" t="s">
        <v>2085</v>
      </c>
      <c r="M305" s="20" t="s">
        <v>2085</v>
      </c>
      <c r="P305" s="2">
        <v>32785</v>
      </c>
      <c r="Q305" s="3">
        <v>32785</v>
      </c>
    </row>
    <row r="306" spans="1:18" ht="318.75">
      <c r="A306" s="13"/>
      <c r="B306" s="11" t="s">
        <v>1267</v>
      </c>
      <c r="C306" s="11" t="s">
        <v>576</v>
      </c>
      <c r="D306" s="31" t="s">
        <v>577</v>
      </c>
      <c r="E306" s="12"/>
      <c r="F306" s="37">
        <v>1</v>
      </c>
      <c r="G306" s="37" t="s">
        <v>16</v>
      </c>
      <c r="H306" s="34" t="s">
        <v>96</v>
      </c>
      <c r="I306" s="9" t="s">
        <v>19</v>
      </c>
      <c r="J306" s="143" t="s">
        <v>578</v>
      </c>
      <c r="K306" s="14">
        <v>44281</v>
      </c>
      <c r="L306" s="97" t="s">
        <v>25</v>
      </c>
      <c r="M306" s="98"/>
      <c r="N306" s="2">
        <v>32714</v>
      </c>
      <c r="R306" s="3" t="s">
        <v>1814</v>
      </c>
    </row>
    <row r="307" spans="1:18" ht="271.5" customHeight="1">
      <c r="A307" s="13"/>
      <c r="B307" s="11" t="s">
        <v>1268</v>
      </c>
      <c r="C307" s="11" t="s">
        <v>1522</v>
      </c>
      <c r="D307" s="31" t="s">
        <v>1076</v>
      </c>
      <c r="E307" s="12"/>
      <c r="F307" s="37">
        <v>4</v>
      </c>
      <c r="G307" s="37" t="s">
        <v>16</v>
      </c>
      <c r="H307" s="34" t="s">
        <v>96</v>
      </c>
      <c r="I307" s="17" t="s">
        <v>572</v>
      </c>
      <c r="J307" s="143" t="s">
        <v>579</v>
      </c>
      <c r="K307" s="18" t="s">
        <v>1914</v>
      </c>
      <c r="L307" s="25" t="s">
        <v>1859</v>
      </c>
      <c r="M307" s="25" t="s">
        <v>1859</v>
      </c>
      <c r="N307" s="2">
        <v>32785</v>
      </c>
      <c r="P307" s="2">
        <v>32785</v>
      </c>
      <c r="Q307" s="2">
        <v>32785</v>
      </c>
      <c r="R307" s="3" t="s">
        <v>3175</v>
      </c>
    </row>
    <row r="308" spans="1:18" ht="393.75">
      <c r="A308" s="13"/>
      <c r="B308" s="11" t="s">
        <v>1269</v>
      </c>
      <c r="C308" s="11" t="s">
        <v>580</v>
      </c>
      <c r="D308" s="31" t="s">
        <v>581</v>
      </c>
      <c r="E308" s="12"/>
      <c r="F308" s="37">
        <v>2</v>
      </c>
      <c r="G308" s="37" t="s">
        <v>16</v>
      </c>
      <c r="H308" s="34" t="s">
        <v>96</v>
      </c>
      <c r="I308" s="75" t="s">
        <v>1694</v>
      </c>
      <c r="J308" s="71" t="s">
        <v>582</v>
      </c>
      <c r="K308" s="18" t="s">
        <v>1723</v>
      </c>
      <c r="L308" s="20" t="s">
        <v>1877</v>
      </c>
      <c r="M308" s="20"/>
      <c r="O308" s="2">
        <v>9676</v>
      </c>
      <c r="P308" s="2"/>
      <c r="Q308" s="2"/>
      <c r="R308" s="3" t="s">
        <v>3178</v>
      </c>
    </row>
    <row r="309" spans="1:18" s="131" customFormat="1" ht="261" customHeight="1">
      <c r="A309" s="234"/>
      <c r="B309" s="235" t="s">
        <v>1270</v>
      </c>
      <c r="C309" s="235" t="s">
        <v>984</v>
      </c>
      <c r="D309" s="278" t="s">
        <v>1601</v>
      </c>
      <c r="E309" s="237"/>
      <c r="F309" s="237">
        <v>4</v>
      </c>
      <c r="G309" s="283" t="s">
        <v>16</v>
      </c>
      <c r="H309" s="239" t="s">
        <v>201</v>
      </c>
      <c r="I309" s="237" t="s">
        <v>19</v>
      </c>
      <c r="J309" s="277" t="s">
        <v>583</v>
      </c>
      <c r="K309" s="242" t="s">
        <v>1599</v>
      </c>
      <c r="L309" s="23" t="s">
        <v>1534</v>
      </c>
      <c r="M309" s="23"/>
      <c r="N309" s="255">
        <v>32714</v>
      </c>
      <c r="P309" s="255">
        <v>32714</v>
      </c>
      <c r="Q309" s="255">
        <v>32192</v>
      </c>
      <c r="R309" s="131" t="s">
        <v>2109</v>
      </c>
    </row>
    <row r="310" spans="1:18" ht="261" customHeight="1">
      <c r="A310" s="13"/>
      <c r="B310" s="11" t="s">
        <v>2421</v>
      </c>
      <c r="C310" s="11" t="s">
        <v>2422</v>
      </c>
      <c r="D310" s="32" t="s">
        <v>2423</v>
      </c>
      <c r="E310" s="9"/>
      <c r="F310" s="9">
        <v>4</v>
      </c>
      <c r="G310" s="52" t="s">
        <v>16</v>
      </c>
      <c r="H310" s="34" t="s">
        <v>201</v>
      </c>
      <c r="I310" s="9" t="s">
        <v>19</v>
      </c>
      <c r="J310" s="30" t="s">
        <v>583</v>
      </c>
      <c r="K310" s="18" t="s">
        <v>1687</v>
      </c>
      <c r="M310" s="20" t="s">
        <v>1637</v>
      </c>
      <c r="N310" s="2">
        <v>32785</v>
      </c>
      <c r="P310" s="2">
        <v>32785</v>
      </c>
      <c r="Q310" s="2">
        <v>32785</v>
      </c>
      <c r="R310" s="9" t="s">
        <v>3207</v>
      </c>
    </row>
    <row r="311" spans="1:18" ht="256.5" customHeight="1">
      <c r="A311" s="13"/>
      <c r="B311" s="11" t="s">
        <v>1757</v>
      </c>
      <c r="C311" s="11" t="s">
        <v>2058</v>
      </c>
      <c r="D311" s="32" t="s">
        <v>2059</v>
      </c>
      <c r="E311" s="9"/>
      <c r="F311" s="9">
        <v>4</v>
      </c>
      <c r="G311" s="52" t="s">
        <v>16</v>
      </c>
      <c r="H311" s="34" t="s">
        <v>201</v>
      </c>
      <c r="I311" s="9" t="s">
        <v>19</v>
      </c>
      <c r="J311" s="26"/>
      <c r="K311" s="18" t="s">
        <v>2053</v>
      </c>
      <c r="L311" s="25" t="s">
        <v>1906</v>
      </c>
      <c r="M311" s="25"/>
      <c r="N311" s="2" t="s">
        <v>3477</v>
      </c>
      <c r="P311" s="2"/>
      <c r="Q311" s="2">
        <v>32785</v>
      </c>
      <c r="R311" s="9">
        <v>7</v>
      </c>
    </row>
    <row r="312" spans="1:18" ht="409.5">
      <c r="A312" s="13"/>
      <c r="B312" s="11" t="s">
        <v>1271</v>
      </c>
      <c r="C312" s="11" t="s">
        <v>2151</v>
      </c>
      <c r="D312" s="32" t="s">
        <v>2797</v>
      </c>
      <c r="E312" s="9"/>
      <c r="F312" s="9"/>
      <c r="G312" s="52" t="s">
        <v>16</v>
      </c>
      <c r="H312" s="34" t="s">
        <v>201</v>
      </c>
      <c r="I312" s="9" t="s">
        <v>571</v>
      </c>
      <c r="J312" s="26" t="s">
        <v>584</v>
      </c>
      <c r="K312" s="18" t="s">
        <v>2148</v>
      </c>
      <c r="L312" s="25" t="s">
        <v>947</v>
      </c>
      <c r="M312" s="25" t="s">
        <v>2034</v>
      </c>
      <c r="N312" s="2">
        <v>32785</v>
      </c>
      <c r="O312" s="3" t="s">
        <v>948</v>
      </c>
      <c r="P312" s="2">
        <v>32785</v>
      </c>
      <c r="Q312" s="2">
        <v>32785</v>
      </c>
    </row>
    <row r="313" spans="1:18" s="131" customFormat="1" ht="260.25" customHeight="1">
      <c r="A313" s="234"/>
      <c r="B313" s="235" t="s">
        <v>1272</v>
      </c>
      <c r="C313" s="235" t="s">
        <v>325</v>
      </c>
      <c r="D313" s="278" t="s">
        <v>1083</v>
      </c>
      <c r="E313" s="237"/>
      <c r="F313" s="237">
        <v>4</v>
      </c>
      <c r="G313" s="283" t="s">
        <v>16</v>
      </c>
      <c r="H313" s="239" t="s">
        <v>201</v>
      </c>
      <c r="I313" s="237" t="s">
        <v>19</v>
      </c>
      <c r="J313" s="241" t="s">
        <v>585</v>
      </c>
      <c r="K313" s="242" t="s">
        <v>1082</v>
      </c>
      <c r="L313" s="23" t="s">
        <v>305</v>
      </c>
      <c r="M313" s="23"/>
      <c r="N313" s="255">
        <v>32714</v>
      </c>
      <c r="Q313" s="255">
        <v>32192</v>
      </c>
      <c r="R313" s="131" t="s">
        <v>2160</v>
      </c>
    </row>
    <row r="314" spans="1:18" ht="273.75" customHeight="1">
      <c r="A314" s="13"/>
      <c r="B314" s="11" t="s">
        <v>1273</v>
      </c>
      <c r="C314" s="11" t="s">
        <v>2561</v>
      </c>
      <c r="D314" s="31" t="s">
        <v>2562</v>
      </c>
      <c r="E314" s="12">
        <v>4</v>
      </c>
      <c r="F314" s="37">
        <v>1</v>
      </c>
      <c r="G314" s="37" t="s">
        <v>16</v>
      </c>
      <c r="H314" s="34" t="s">
        <v>586</v>
      </c>
      <c r="I314" s="9" t="s">
        <v>679</v>
      </c>
      <c r="J314" s="143">
        <v>6503801100</v>
      </c>
      <c r="K314" s="18" t="s">
        <v>2557</v>
      </c>
      <c r="L314" s="20" t="s">
        <v>2085</v>
      </c>
      <c r="M314" s="20" t="s">
        <v>2085</v>
      </c>
      <c r="N314" s="2">
        <v>32714</v>
      </c>
      <c r="R314" s="12">
        <v>3</v>
      </c>
    </row>
    <row r="315" spans="1:18" ht="409.5">
      <c r="A315" s="13"/>
      <c r="B315" s="11" t="s">
        <v>1274</v>
      </c>
      <c r="C315" s="11" t="s">
        <v>1983</v>
      </c>
      <c r="D315" s="31" t="s">
        <v>1088</v>
      </c>
      <c r="E315" s="12"/>
      <c r="F315" s="37">
        <v>1</v>
      </c>
      <c r="G315" s="37" t="s">
        <v>16</v>
      </c>
      <c r="H315" s="34" t="s">
        <v>96</v>
      </c>
      <c r="I315" s="17" t="s">
        <v>572</v>
      </c>
      <c r="J315" s="143" t="s">
        <v>587</v>
      </c>
      <c r="K315" s="14" t="s">
        <v>1982</v>
      </c>
      <c r="L315" s="20" t="s">
        <v>1859</v>
      </c>
      <c r="M315" s="20" t="s">
        <v>1859</v>
      </c>
      <c r="N315" s="2">
        <v>13569</v>
      </c>
      <c r="R315" s="3" t="s">
        <v>3174</v>
      </c>
    </row>
    <row r="316" spans="1:18" ht="393.75">
      <c r="A316" s="13"/>
      <c r="B316" s="11" t="s">
        <v>1275</v>
      </c>
      <c r="C316" s="11" t="s">
        <v>588</v>
      </c>
      <c r="D316" s="31" t="s">
        <v>3461</v>
      </c>
      <c r="E316" s="12"/>
      <c r="F316" s="92"/>
      <c r="G316" s="37" t="s">
        <v>16</v>
      </c>
      <c r="H316" s="34" t="s">
        <v>43</v>
      </c>
      <c r="I316" s="17" t="s">
        <v>571</v>
      </c>
      <c r="J316" s="143" t="s">
        <v>589</v>
      </c>
      <c r="K316" s="18" t="s">
        <v>1866</v>
      </c>
      <c r="L316" s="15" t="s">
        <v>1863</v>
      </c>
      <c r="M316" s="15" t="s">
        <v>1863</v>
      </c>
      <c r="N316" s="2" t="s">
        <v>70</v>
      </c>
    </row>
    <row r="317" spans="1:18" ht="123" customHeight="1">
      <c r="A317" s="13"/>
      <c r="B317" s="11" t="s">
        <v>2629</v>
      </c>
      <c r="C317" s="11" t="s">
        <v>2630</v>
      </c>
      <c r="D317" s="31" t="s">
        <v>2631</v>
      </c>
      <c r="E317" s="12">
        <v>7</v>
      </c>
      <c r="F317" s="37">
        <v>2</v>
      </c>
      <c r="G317" s="37" t="s">
        <v>16</v>
      </c>
      <c r="H317" s="34" t="s">
        <v>96</v>
      </c>
      <c r="I317" s="75" t="s">
        <v>1129</v>
      </c>
      <c r="J317" s="143">
        <v>6503784007</v>
      </c>
      <c r="K317" s="18" t="s">
        <v>1950</v>
      </c>
      <c r="L317" s="20" t="s">
        <v>2558</v>
      </c>
      <c r="M317" s="20"/>
      <c r="N317" s="2">
        <v>32785</v>
      </c>
      <c r="O317" s="2">
        <v>32785</v>
      </c>
    </row>
    <row r="318" spans="1:18" ht="135" customHeight="1">
      <c r="A318" s="13"/>
      <c r="B318" s="11" t="s">
        <v>1917</v>
      </c>
      <c r="C318" s="11" t="s">
        <v>590</v>
      </c>
      <c r="D318" s="31" t="s">
        <v>2414</v>
      </c>
      <c r="E318" s="12"/>
      <c r="F318" s="37">
        <v>2</v>
      </c>
      <c r="G318" s="37" t="s">
        <v>16</v>
      </c>
      <c r="H318" s="34" t="s">
        <v>96</v>
      </c>
      <c r="I318" s="75" t="s">
        <v>225</v>
      </c>
      <c r="J318" s="143" t="s">
        <v>591</v>
      </c>
      <c r="K318" s="18" t="s">
        <v>1914</v>
      </c>
      <c r="L318" s="25" t="s">
        <v>1859</v>
      </c>
      <c r="M318" s="25" t="s">
        <v>1859</v>
      </c>
      <c r="N318" s="2">
        <v>32785</v>
      </c>
      <c r="O318" s="2">
        <v>32785</v>
      </c>
      <c r="R318" s="3" t="s">
        <v>3172</v>
      </c>
    </row>
    <row r="319" spans="1:18" ht="183" customHeight="1">
      <c r="A319" s="13"/>
      <c r="B319" s="11" t="s">
        <v>1535</v>
      </c>
      <c r="C319" s="66" t="s">
        <v>2174</v>
      </c>
      <c r="D319" s="11" t="s">
        <v>2175</v>
      </c>
      <c r="E319" s="12"/>
      <c r="F319" s="37">
        <v>2</v>
      </c>
      <c r="G319" s="37" t="s">
        <v>16</v>
      </c>
      <c r="H319" s="34" t="s">
        <v>96</v>
      </c>
      <c r="I319" s="24" t="s">
        <v>1468</v>
      </c>
      <c r="J319" s="143" t="s">
        <v>592</v>
      </c>
      <c r="K319" s="14" t="s">
        <v>2172</v>
      </c>
      <c r="L319" s="19" t="s">
        <v>1592</v>
      </c>
      <c r="M319" s="19" t="s">
        <v>1592</v>
      </c>
      <c r="N319" s="2">
        <v>32192</v>
      </c>
      <c r="O319" s="2">
        <v>32785</v>
      </c>
      <c r="R319" s="3" t="s">
        <v>3207</v>
      </c>
    </row>
    <row r="320" spans="1:18" ht="358.5" customHeight="1">
      <c r="A320" s="13"/>
      <c r="B320" s="11" t="s">
        <v>1584</v>
      </c>
      <c r="C320" s="11" t="s">
        <v>2163</v>
      </c>
      <c r="D320" s="31" t="s">
        <v>1436</v>
      </c>
      <c r="E320" s="12"/>
      <c r="F320" s="37">
        <v>3</v>
      </c>
      <c r="G320" s="37" t="s">
        <v>16</v>
      </c>
      <c r="H320" s="34" t="s">
        <v>96</v>
      </c>
      <c r="I320" s="17" t="s">
        <v>572</v>
      </c>
      <c r="J320" s="143" t="s">
        <v>593</v>
      </c>
      <c r="K320" s="18" t="s">
        <v>1886</v>
      </c>
      <c r="L320" s="20" t="s">
        <v>1859</v>
      </c>
      <c r="M320" s="20" t="s">
        <v>1859</v>
      </c>
      <c r="N320" s="2">
        <v>32785</v>
      </c>
      <c r="O320" s="2">
        <v>32785</v>
      </c>
      <c r="P320" s="2">
        <v>32785</v>
      </c>
      <c r="Q320" s="12"/>
      <c r="R320" s="12" t="s">
        <v>3210</v>
      </c>
    </row>
    <row r="321" spans="1:18" ht="267.75" customHeight="1">
      <c r="A321" s="13"/>
      <c r="B321" s="11" t="s">
        <v>1276</v>
      </c>
      <c r="C321" s="11" t="s">
        <v>594</v>
      </c>
      <c r="D321" s="31" t="s">
        <v>1647</v>
      </c>
      <c r="E321" s="12"/>
      <c r="F321" s="37">
        <v>1</v>
      </c>
      <c r="G321" s="37" t="s">
        <v>16</v>
      </c>
      <c r="H321" s="34" t="s">
        <v>96</v>
      </c>
      <c r="I321" s="17" t="s">
        <v>572</v>
      </c>
      <c r="J321" s="143" t="s">
        <v>595</v>
      </c>
      <c r="K321" s="18">
        <v>45638</v>
      </c>
      <c r="L321" s="25" t="s">
        <v>1634</v>
      </c>
      <c r="M321" s="25"/>
      <c r="N321" s="2">
        <v>8853</v>
      </c>
      <c r="R321" s="12" t="s">
        <v>3094</v>
      </c>
    </row>
    <row r="322" spans="1:18" ht="269.25" customHeight="1">
      <c r="A322" s="13"/>
      <c r="B322" s="11" t="s">
        <v>1277</v>
      </c>
      <c r="C322" s="11" t="s">
        <v>596</v>
      </c>
      <c r="D322" s="31" t="s">
        <v>597</v>
      </c>
      <c r="E322" s="12"/>
      <c r="F322" s="37">
        <v>1</v>
      </c>
      <c r="G322" s="37" t="s">
        <v>77</v>
      </c>
      <c r="H322" s="34" t="s">
        <v>96</v>
      </c>
      <c r="I322" s="17" t="s">
        <v>420</v>
      </c>
      <c r="J322" s="145" t="s">
        <v>598</v>
      </c>
      <c r="K322" s="18" t="s">
        <v>45</v>
      </c>
      <c r="L322" s="25" t="s">
        <v>599</v>
      </c>
      <c r="M322" s="25"/>
      <c r="N322" s="2" t="s">
        <v>172</v>
      </c>
    </row>
    <row r="323" spans="1:18" ht="356.25">
      <c r="A323" s="13"/>
      <c r="B323" s="11" t="s">
        <v>1278</v>
      </c>
      <c r="C323" s="11" t="s">
        <v>600</v>
      </c>
      <c r="D323" s="31" t="s">
        <v>1380</v>
      </c>
      <c r="E323" s="12"/>
      <c r="F323" s="37">
        <v>2</v>
      </c>
      <c r="G323" s="37" t="s">
        <v>16</v>
      </c>
      <c r="H323" s="34" t="s">
        <v>96</v>
      </c>
      <c r="I323" s="17" t="s">
        <v>572</v>
      </c>
      <c r="J323" s="143" t="s">
        <v>601</v>
      </c>
      <c r="K323" s="18" t="s">
        <v>1884</v>
      </c>
      <c r="L323" s="20" t="s">
        <v>1859</v>
      </c>
      <c r="M323" s="20" t="s">
        <v>1859</v>
      </c>
      <c r="N323" s="2">
        <v>8853</v>
      </c>
      <c r="O323" s="2">
        <v>32714</v>
      </c>
      <c r="P323" s="2">
        <v>8853</v>
      </c>
      <c r="Q323" s="3">
        <v>8853</v>
      </c>
      <c r="R323" s="3" t="s">
        <v>3178</v>
      </c>
    </row>
    <row r="324" spans="1:18" ht="409.5">
      <c r="A324" s="13"/>
      <c r="B324" s="11" t="s">
        <v>1279</v>
      </c>
      <c r="C324" s="11" t="s">
        <v>603</v>
      </c>
      <c r="D324" s="31" t="s">
        <v>1533</v>
      </c>
      <c r="E324" s="12"/>
      <c r="F324" s="37">
        <v>2</v>
      </c>
      <c r="G324" s="37" t="s">
        <v>16</v>
      </c>
      <c r="H324" s="34" t="s">
        <v>96</v>
      </c>
      <c r="I324" s="75" t="s">
        <v>212</v>
      </c>
      <c r="J324" s="146" t="s">
        <v>604</v>
      </c>
      <c r="K324" s="18" t="s">
        <v>1532</v>
      </c>
      <c r="L324" s="25"/>
      <c r="M324" s="25" t="s">
        <v>1534</v>
      </c>
      <c r="N324" s="2">
        <v>32785</v>
      </c>
      <c r="O324" s="2">
        <v>32785</v>
      </c>
      <c r="P324" s="99" t="s">
        <v>605</v>
      </c>
      <c r="R324" s="12" t="s">
        <v>2986</v>
      </c>
    </row>
    <row r="325" spans="1:18" ht="225" customHeight="1">
      <c r="A325" s="13"/>
      <c r="B325" s="107" t="s">
        <v>1075</v>
      </c>
      <c r="C325" s="66" t="s">
        <v>606</v>
      </c>
      <c r="D325" s="11" t="s">
        <v>1073</v>
      </c>
      <c r="E325" s="12"/>
      <c r="F325" s="37">
        <v>3</v>
      </c>
      <c r="G325" s="147" t="s">
        <v>16</v>
      </c>
      <c r="H325" s="34" t="s">
        <v>81</v>
      </c>
      <c r="I325" s="28" t="s">
        <v>19</v>
      </c>
      <c r="J325" s="26" t="s">
        <v>607</v>
      </c>
      <c r="K325" s="18" t="s">
        <v>1862</v>
      </c>
      <c r="L325" s="20" t="s">
        <v>1864</v>
      </c>
      <c r="M325" s="20" t="s">
        <v>1864</v>
      </c>
      <c r="N325" s="2">
        <v>32785</v>
      </c>
      <c r="P325" s="2">
        <v>32785</v>
      </c>
      <c r="Q325" s="2">
        <v>32785</v>
      </c>
      <c r="R325" s="12" t="s">
        <v>3438</v>
      </c>
    </row>
    <row r="326" spans="1:18" ht="187.5">
      <c r="A326" s="13"/>
      <c r="B326" s="62" t="s">
        <v>1280</v>
      </c>
      <c r="C326" s="62" t="s">
        <v>608</v>
      </c>
      <c r="D326" s="31" t="s">
        <v>1134</v>
      </c>
      <c r="E326" s="12"/>
      <c r="F326" s="37">
        <v>4</v>
      </c>
      <c r="G326" s="37" t="s">
        <v>16</v>
      </c>
      <c r="H326" s="34" t="s">
        <v>96</v>
      </c>
      <c r="I326" s="24" t="s">
        <v>1470</v>
      </c>
      <c r="J326" s="143" t="s">
        <v>609</v>
      </c>
      <c r="K326" s="18" t="s">
        <v>105</v>
      </c>
      <c r="L326" s="20" t="s">
        <v>80</v>
      </c>
      <c r="N326" s="2">
        <v>32785</v>
      </c>
      <c r="Q326" s="2">
        <v>32785</v>
      </c>
      <c r="R326" s="162" t="s">
        <v>2577</v>
      </c>
    </row>
    <row r="327" spans="1:18" ht="387" customHeight="1">
      <c r="A327" s="13"/>
      <c r="B327" s="62" t="s">
        <v>1281</v>
      </c>
      <c r="C327" s="62" t="s">
        <v>610</v>
      </c>
      <c r="D327" s="31" t="s">
        <v>1039</v>
      </c>
      <c r="E327" s="12"/>
      <c r="F327" s="9" t="s">
        <v>15</v>
      </c>
      <c r="G327" s="37" t="s">
        <v>612</v>
      </c>
      <c r="H327" s="34" t="s">
        <v>96</v>
      </c>
      <c r="I327" s="9" t="s">
        <v>17</v>
      </c>
      <c r="J327" s="37" t="s">
        <v>613</v>
      </c>
      <c r="K327" s="18" t="s">
        <v>1880</v>
      </c>
      <c r="L327" s="36" t="s">
        <v>1859</v>
      </c>
      <c r="M327" s="36" t="s">
        <v>1859</v>
      </c>
      <c r="N327" s="2" t="s">
        <v>423</v>
      </c>
      <c r="O327" s="2" t="s">
        <v>423</v>
      </c>
      <c r="P327" s="2" t="s">
        <v>423</v>
      </c>
      <c r="Q327" s="2" t="s">
        <v>423</v>
      </c>
      <c r="R327" s="12" t="s">
        <v>3246</v>
      </c>
    </row>
    <row r="328" spans="1:18" ht="277.5" customHeight="1">
      <c r="A328" s="13"/>
      <c r="B328" s="11" t="s">
        <v>1575</v>
      </c>
      <c r="C328" s="11" t="s">
        <v>2871</v>
      </c>
      <c r="D328" s="11" t="s">
        <v>2872</v>
      </c>
      <c r="E328" s="12"/>
      <c r="F328" s="9">
        <v>1</v>
      </c>
      <c r="G328" s="148" t="s">
        <v>16</v>
      </c>
      <c r="H328" s="9" t="s">
        <v>96</v>
      </c>
      <c r="I328" s="109" t="s">
        <v>212</v>
      </c>
      <c r="J328" s="28" t="s">
        <v>614</v>
      </c>
      <c r="K328" s="18" t="s">
        <v>2869</v>
      </c>
      <c r="L328" s="25" t="s">
        <v>2595</v>
      </c>
      <c r="M328" s="25" t="s">
        <v>2595</v>
      </c>
      <c r="N328" s="2">
        <v>32192</v>
      </c>
      <c r="R328" s="3" t="s">
        <v>3172</v>
      </c>
    </row>
    <row r="329" spans="1:18" ht="168.75">
      <c r="A329" s="13"/>
      <c r="B329" s="11" t="s">
        <v>901</v>
      </c>
      <c r="C329" s="11" t="s">
        <v>902</v>
      </c>
      <c r="D329" s="11" t="s">
        <v>903</v>
      </c>
      <c r="E329" s="12"/>
      <c r="F329" s="9">
        <v>1</v>
      </c>
      <c r="G329" s="148" t="s">
        <v>16</v>
      </c>
      <c r="H329" s="9" t="s">
        <v>96</v>
      </c>
      <c r="I329" s="28" t="s">
        <v>19</v>
      </c>
      <c r="J329" s="82" t="s">
        <v>904</v>
      </c>
      <c r="K329" s="18" t="s">
        <v>2030</v>
      </c>
      <c r="L329" s="25" t="s">
        <v>1906</v>
      </c>
      <c r="M329" s="25" t="s">
        <v>1906</v>
      </c>
      <c r="N329" s="2">
        <v>32192</v>
      </c>
      <c r="R329" s="3" t="s">
        <v>3244</v>
      </c>
    </row>
    <row r="330" spans="1:18" ht="318.75">
      <c r="A330" s="13"/>
      <c r="B330" s="11" t="s">
        <v>2132</v>
      </c>
      <c r="C330" s="11" t="s">
        <v>2133</v>
      </c>
      <c r="D330" s="11" t="s">
        <v>1098</v>
      </c>
      <c r="E330" s="12"/>
      <c r="F330" s="9">
        <v>1</v>
      </c>
      <c r="G330" s="148" t="s">
        <v>16</v>
      </c>
      <c r="H330" s="9" t="s">
        <v>96</v>
      </c>
      <c r="I330" s="28" t="s">
        <v>19</v>
      </c>
      <c r="J330" s="28" t="s">
        <v>615</v>
      </c>
      <c r="K330" s="18" t="s">
        <v>1010</v>
      </c>
      <c r="L330" s="19" t="s">
        <v>2134</v>
      </c>
      <c r="M330" s="19" t="s">
        <v>2134</v>
      </c>
      <c r="N330" s="2">
        <v>32192</v>
      </c>
      <c r="R330" s="3" t="s">
        <v>3346</v>
      </c>
    </row>
    <row r="331" spans="1:18" ht="356.25">
      <c r="A331" s="13"/>
      <c r="B331" s="149" t="s">
        <v>1282</v>
      </c>
      <c r="C331" s="149" t="s">
        <v>1718</v>
      </c>
      <c r="D331" s="149" t="s">
        <v>616</v>
      </c>
      <c r="E331" s="12"/>
      <c r="F331" s="9">
        <v>1</v>
      </c>
      <c r="G331" s="148" t="s">
        <v>16</v>
      </c>
      <c r="H331" s="9" t="s">
        <v>96</v>
      </c>
      <c r="I331" s="28" t="s">
        <v>19</v>
      </c>
      <c r="J331" s="28" t="s">
        <v>617</v>
      </c>
      <c r="K331" s="18" t="s">
        <v>219</v>
      </c>
      <c r="L331" s="20" t="s">
        <v>1717</v>
      </c>
      <c r="M331" s="20"/>
      <c r="N331" s="2">
        <v>32192</v>
      </c>
      <c r="O331" s="3">
        <v>7</v>
      </c>
      <c r="Q331" s="3" t="s">
        <v>618</v>
      </c>
      <c r="R331" s="3" t="s">
        <v>3141</v>
      </c>
    </row>
    <row r="332" spans="1:18" ht="409.5">
      <c r="A332" s="13"/>
      <c r="B332" s="149" t="s">
        <v>2937</v>
      </c>
      <c r="C332" s="149" t="s">
        <v>2938</v>
      </c>
      <c r="D332" s="149" t="s">
        <v>2939</v>
      </c>
      <c r="E332" s="12">
        <v>4</v>
      </c>
      <c r="F332" s="9">
        <v>1</v>
      </c>
      <c r="G332" s="148"/>
      <c r="H332" s="9"/>
      <c r="I332" s="28" t="s">
        <v>19</v>
      </c>
      <c r="J332" s="28"/>
      <c r="K332" s="18" t="s">
        <v>2934</v>
      </c>
      <c r="L332" s="20" t="s">
        <v>2595</v>
      </c>
      <c r="M332" s="20" t="s">
        <v>2595</v>
      </c>
      <c r="N332" s="2">
        <v>9676</v>
      </c>
    </row>
    <row r="333" spans="1:18" ht="236.25" customHeight="1">
      <c r="A333" s="13"/>
      <c r="B333" s="11" t="s">
        <v>1283</v>
      </c>
      <c r="C333" s="11" t="s">
        <v>1498</v>
      </c>
      <c r="D333" s="11" t="s">
        <v>1133</v>
      </c>
      <c r="E333" s="12"/>
      <c r="F333" s="9">
        <v>1</v>
      </c>
      <c r="G333" s="148" t="s">
        <v>16</v>
      </c>
      <c r="H333" s="9" t="s">
        <v>96</v>
      </c>
      <c r="I333" s="28" t="s">
        <v>19</v>
      </c>
      <c r="J333" s="82" t="s">
        <v>619</v>
      </c>
      <c r="K333" s="18" t="s">
        <v>105</v>
      </c>
      <c r="M333" s="25" t="s">
        <v>80</v>
      </c>
      <c r="N333" s="2">
        <v>4860</v>
      </c>
      <c r="P333" s="3">
        <v>7</v>
      </c>
      <c r="Q333" s="3" t="s">
        <v>620</v>
      </c>
    </row>
    <row r="334" spans="1:18" ht="409.5" customHeight="1">
      <c r="A334" s="13"/>
      <c r="B334" s="115" t="s">
        <v>621</v>
      </c>
      <c r="C334" s="115" t="s">
        <v>622</v>
      </c>
      <c r="D334" s="150" t="s">
        <v>1433</v>
      </c>
      <c r="E334" s="12"/>
      <c r="F334" s="9"/>
      <c r="G334" s="148" t="s">
        <v>16</v>
      </c>
      <c r="H334" s="9" t="s">
        <v>96</v>
      </c>
      <c r="I334" s="88" t="s">
        <v>55</v>
      </c>
      <c r="J334" s="28"/>
      <c r="K334" s="18" t="s">
        <v>1642</v>
      </c>
      <c r="M334" s="25" t="s">
        <v>1643</v>
      </c>
      <c r="R334" s="3" t="s">
        <v>2864</v>
      </c>
    </row>
    <row r="335" spans="1:18" ht="281.25">
      <c r="A335" s="13"/>
      <c r="B335" s="11" t="s">
        <v>1284</v>
      </c>
      <c r="C335" s="11" t="s">
        <v>623</v>
      </c>
      <c r="D335" s="11" t="s">
        <v>1099</v>
      </c>
      <c r="E335" s="12"/>
      <c r="F335" s="9">
        <v>1</v>
      </c>
      <c r="G335" s="148" t="s">
        <v>16</v>
      </c>
      <c r="H335" s="9" t="s">
        <v>96</v>
      </c>
      <c r="I335" s="28" t="s">
        <v>19</v>
      </c>
      <c r="J335" s="28"/>
      <c r="K335" s="14" t="s">
        <v>602</v>
      </c>
      <c r="L335" s="19" t="s">
        <v>42</v>
      </c>
      <c r="M335" s="20"/>
      <c r="N335" s="2">
        <v>32714</v>
      </c>
      <c r="R335" s="3" t="s">
        <v>1506</v>
      </c>
    </row>
    <row r="336" spans="1:18" ht="225">
      <c r="A336" s="13"/>
      <c r="B336" s="11" t="s">
        <v>1285</v>
      </c>
      <c r="C336" s="11" t="s">
        <v>1439</v>
      </c>
      <c r="D336" s="11" t="s">
        <v>1440</v>
      </c>
      <c r="E336" s="12"/>
      <c r="F336" s="9">
        <v>1</v>
      </c>
      <c r="G336" s="148" t="s">
        <v>16</v>
      </c>
      <c r="H336" s="9" t="s">
        <v>96</v>
      </c>
      <c r="I336" s="88" t="s">
        <v>1470</v>
      </c>
      <c r="J336" s="28" t="s">
        <v>624</v>
      </c>
      <c r="K336" s="18" t="s">
        <v>1435</v>
      </c>
      <c r="L336" s="20"/>
      <c r="M336" s="20" t="s">
        <v>1375</v>
      </c>
      <c r="N336" s="2">
        <v>32714</v>
      </c>
      <c r="R336" s="3" t="s">
        <v>2721</v>
      </c>
    </row>
    <row r="337" spans="1:19" ht="262.5" customHeight="1">
      <c r="A337" s="13"/>
      <c r="B337" s="11" t="s">
        <v>2853</v>
      </c>
      <c r="C337" s="11" t="s">
        <v>2854</v>
      </c>
      <c r="D337" s="31" t="s">
        <v>2855</v>
      </c>
      <c r="E337" s="12">
        <v>7</v>
      </c>
      <c r="F337" s="37">
        <v>2</v>
      </c>
      <c r="G337" s="37" t="s">
        <v>16</v>
      </c>
      <c r="H337" s="34" t="s">
        <v>96</v>
      </c>
      <c r="I337" s="75" t="s">
        <v>1130</v>
      </c>
      <c r="J337" s="143" t="s">
        <v>625</v>
      </c>
      <c r="K337" s="18" t="s">
        <v>2856</v>
      </c>
      <c r="L337" s="20" t="s">
        <v>2845</v>
      </c>
      <c r="M337" s="20" t="s">
        <v>2845</v>
      </c>
      <c r="N337" s="2">
        <v>32785</v>
      </c>
      <c r="O337" s="2">
        <v>32785</v>
      </c>
      <c r="R337" s="12">
        <v>7</v>
      </c>
    </row>
    <row r="338" spans="1:19" ht="146.25" customHeight="1">
      <c r="A338" s="13"/>
      <c r="B338" s="11" t="s">
        <v>1286</v>
      </c>
      <c r="C338" s="11" t="s">
        <v>626</v>
      </c>
      <c r="D338" s="31" t="s">
        <v>1034</v>
      </c>
      <c r="E338" s="12"/>
      <c r="F338" s="37">
        <v>4</v>
      </c>
      <c r="G338" s="37" t="s">
        <v>16</v>
      </c>
      <c r="H338" s="34" t="s">
        <v>96</v>
      </c>
      <c r="I338" s="24" t="s">
        <v>1470</v>
      </c>
      <c r="J338" s="143" t="s">
        <v>627</v>
      </c>
      <c r="K338" s="18" t="s">
        <v>1035</v>
      </c>
      <c r="L338" s="20" t="s">
        <v>305</v>
      </c>
      <c r="M338" s="20"/>
      <c r="N338" s="2">
        <v>32785</v>
      </c>
      <c r="Q338" s="2">
        <v>32785</v>
      </c>
      <c r="R338" s="162" t="s">
        <v>2445</v>
      </c>
    </row>
    <row r="339" spans="1:19" ht="337.5">
      <c r="A339" s="13"/>
      <c r="B339" s="11" t="s">
        <v>1579</v>
      </c>
      <c r="C339" s="11" t="s">
        <v>1990</v>
      </c>
      <c r="D339" s="31" t="s">
        <v>941</v>
      </c>
      <c r="E339" s="12"/>
      <c r="F339" s="37">
        <v>4</v>
      </c>
      <c r="G339" s="37" t="s">
        <v>16</v>
      </c>
      <c r="H339" s="148" t="s">
        <v>628</v>
      </c>
      <c r="I339" s="9" t="s">
        <v>572</v>
      </c>
      <c r="J339" s="143" t="s">
        <v>627</v>
      </c>
      <c r="K339" s="18" t="s">
        <v>1982</v>
      </c>
      <c r="L339" s="20" t="s">
        <v>1859</v>
      </c>
      <c r="M339" s="20"/>
      <c r="N339" s="2">
        <v>32785</v>
      </c>
      <c r="P339" s="2">
        <v>32785</v>
      </c>
      <c r="Q339" s="2">
        <v>32785</v>
      </c>
      <c r="R339" s="162" t="s">
        <v>2603</v>
      </c>
    </row>
    <row r="340" spans="1:19" ht="278.25" customHeight="1">
      <c r="A340" s="13"/>
      <c r="B340" s="11" t="s">
        <v>1287</v>
      </c>
      <c r="C340" s="11" t="s">
        <v>629</v>
      </c>
      <c r="D340" s="10" t="s">
        <v>1919</v>
      </c>
      <c r="E340" s="12"/>
      <c r="F340" s="37"/>
      <c r="G340" s="37" t="s">
        <v>16</v>
      </c>
      <c r="H340" s="34" t="s">
        <v>96</v>
      </c>
      <c r="I340" s="9" t="s">
        <v>17</v>
      </c>
      <c r="J340" s="143" t="s">
        <v>630</v>
      </c>
      <c r="K340" s="18" t="s">
        <v>1914</v>
      </c>
      <c r="L340" s="25" t="s">
        <v>1859</v>
      </c>
      <c r="M340" s="25" t="s">
        <v>1859</v>
      </c>
      <c r="N340" s="2" t="s">
        <v>1918</v>
      </c>
      <c r="O340" s="2" t="s">
        <v>89</v>
      </c>
      <c r="P340" s="2"/>
      <c r="Q340" s="2"/>
      <c r="R340" s="3" t="s">
        <v>3177</v>
      </c>
    </row>
    <row r="341" spans="1:19" ht="278.25" customHeight="1">
      <c r="A341" s="13"/>
      <c r="B341" s="11" t="s">
        <v>2216</v>
      </c>
      <c r="C341" s="11" t="s">
        <v>2217</v>
      </c>
      <c r="D341" s="10" t="s">
        <v>2218</v>
      </c>
      <c r="E341" s="12"/>
      <c r="F341" s="37">
        <v>4</v>
      </c>
      <c r="G341" s="37"/>
      <c r="H341" s="34"/>
      <c r="I341" s="9" t="s">
        <v>572</v>
      </c>
      <c r="J341" s="143"/>
      <c r="K341" s="18" t="s">
        <v>1637</v>
      </c>
      <c r="L341" s="25"/>
      <c r="M341" s="25" t="s">
        <v>2219</v>
      </c>
      <c r="O341" s="2"/>
      <c r="P341" s="2"/>
      <c r="Q341" s="3">
        <v>32714</v>
      </c>
      <c r="R341" s="12" t="s">
        <v>2848</v>
      </c>
    </row>
    <row r="342" spans="1:19" ht="308.25" customHeight="1">
      <c r="A342" s="13"/>
      <c r="B342" s="11" t="s">
        <v>3364</v>
      </c>
      <c r="C342" s="10" t="s">
        <v>3365</v>
      </c>
      <c r="D342" s="10" t="s">
        <v>3372</v>
      </c>
      <c r="E342" s="12"/>
      <c r="F342" s="37"/>
      <c r="G342" s="37"/>
      <c r="H342" s="34"/>
      <c r="I342" s="17" t="s">
        <v>55</v>
      </c>
      <c r="J342" s="145" t="s">
        <v>631</v>
      </c>
      <c r="K342" s="18" t="s">
        <v>3373</v>
      </c>
      <c r="L342" s="25" t="s">
        <v>3374</v>
      </c>
    </row>
    <row r="343" spans="1:19" ht="75">
      <c r="A343" s="13"/>
      <c r="B343" s="11" t="s">
        <v>2485</v>
      </c>
      <c r="C343" s="11" t="s">
        <v>3432</v>
      </c>
      <c r="D343" s="31" t="s">
        <v>3449</v>
      </c>
      <c r="E343" s="12">
        <v>7</v>
      </c>
      <c r="F343" s="37">
        <v>1</v>
      </c>
      <c r="G343" s="37"/>
      <c r="H343" s="34"/>
      <c r="I343" s="10" t="s">
        <v>3450</v>
      </c>
      <c r="J343" s="37"/>
      <c r="K343" s="18" t="s">
        <v>3451</v>
      </c>
      <c r="L343" s="20" t="s">
        <v>3433</v>
      </c>
      <c r="M343" s="20" t="s">
        <v>3354</v>
      </c>
      <c r="N343" s="2" t="s">
        <v>2806</v>
      </c>
      <c r="O343" s="2" t="s">
        <v>2806</v>
      </c>
      <c r="P343" s="2" t="s">
        <v>2806</v>
      </c>
      <c r="Q343" s="2" t="s">
        <v>2806</v>
      </c>
      <c r="R343" s="12">
        <v>7</v>
      </c>
    </row>
    <row r="344" spans="1:19" ht="282" customHeight="1">
      <c r="A344" s="13"/>
      <c r="B344" s="11" t="s">
        <v>3149</v>
      </c>
      <c r="C344" s="11" t="s">
        <v>3148</v>
      </c>
      <c r="D344" s="151" t="s">
        <v>3150</v>
      </c>
      <c r="E344" s="12"/>
      <c r="F344" s="37">
        <v>4</v>
      </c>
      <c r="G344" s="37" t="s">
        <v>16</v>
      </c>
      <c r="H344" s="34" t="s">
        <v>531</v>
      </c>
      <c r="I344" s="17" t="s">
        <v>571</v>
      </c>
      <c r="J344" s="145" t="s">
        <v>632</v>
      </c>
      <c r="K344" s="18" t="s">
        <v>3151</v>
      </c>
      <c r="L344" s="97" t="s">
        <v>2040</v>
      </c>
      <c r="M344" s="25" t="s">
        <v>3002</v>
      </c>
      <c r="N344" s="39" t="s">
        <v>3156</v>
      </c>
    </row>
    <row r="345" spans="1:19" ht="289.5" customHeight="1">
      <c r="A345" s="13"/>
      <c r="B345" s="11" t="s">
        <v>1288</v>
      </c>
      <c r="C345" s="66" t="s">
        <v>2591</v>
      </c>
      <c r="D345" s="31" t="s">
        <v>2592</v>
      </c>
      <c r="E345" s="12"/>
      <c r="F345" s="37" t="s">
        <v>639</v>
      </c>
      <c r="G345" s="37" t="s">
        <v>16</v>
      </c>
      <c r="H345" s="34" t="s">
        <v>170</v>
      </c>
      <c r="I345" s="10" t="s">
        <v>2593</v>
      </c>
      <c r="J345" s="143" t="s">
        <v>633</v>
      </c>
      <c r="K345" s="18" t="s">
        <v>2594</v>
      </c>
      <c r="L345" s="20" t="s">
        <v>2595</v>
      </c>
      <c r="M345" s="20"/>
      <c r="N345" s="2">
        <v>8853</v>
      </c>
      <c r="O345" s="3">
        <v>32785</v>
      </c>
      <c r="Q345" s="3">
        <v>32785</v>
      </c>
      <c r="R345" s="3" t="s">
        <v>3431</v>
      </c>
    </row>
    <row r="346" spans="1:19" ht="289.5" customHeight="1">
      <c r="A346" s="13"/>
      <c r="B346" s="11" t="s">
        <v>1725</v>
      </c>
      <c r="C346" s="66" t="s">
        <v>958</v>
      </c>
      <c r="D346" s="31" t="s">
        <v>2496</v>
      </c>
      <c r="E346" s="12"/>
      <c r="F346" s="37">
        <v>4</v>
      </c>
      <c r="G346" s="37" t="s">
        <v>16</v>
      </c>
      <c r="H346" s="34" t="s">
        <v>96</v>
      </c>
      <c r="I346" s="10" t="s">
        <v>959</v>
      </c>
      <c r="J346" s="143"/>
      <c r="K346" s="18" t="s">
        <v>1882</v>
      </c>
      <c r="L346" s="20"/>
      <c r="M346" s="20" t="s">
        <v>1634</v>
      </c>
      <c r="N346" s="2">
        <v>8853</v>
      </c>
      <c r="Q346" s="2">
        <v>9676</v>
      </c>
      <c r="R346" s="12" t="s">
        <v>3052</v>
      </c>
    </row>
    <row r="347" spans="1:19" ht="409.5">
      <c r="A347" s="13"/>
      <c r="B347" s="62" t="s">
        <v>3197</v>
      </c>
      <c r="C347" s="93" t="s">
        <v>3199</v>
      </c>
      <c r="D347" s="31" t="s">
        <v>3198</v>
      </c>
      <c r="E347" s="37"/>
      <c r="F347" s="37">
        <v>4</v>
      </c>
      <c r="G347" s="37" t="s">
        <v>16</v>
      </c>
      <c r="H347" s="9" t="s">
        <v>81</v>
      </c>
      <c r="I347" s="109" t="s">
        <v>55</v>
      </c>
      <c r="J347" s="233">
        <v>6503669550</v>
      </c>
      <c r="K347" s="18" t="s">
        <v>3190</v>
      </c>
      <c r="L347" s="219" t="s">
        <v>1730</v>
      </c>
      <c r="M347" s="219" t="s">
        <v>1730</v>
      </c>
      <c r="N347" s="359" t="s">
        <v>1403</v>
      </c>
    </row>
    <row r="348" spans="1:19" ht="197.25" customHeight="1">
      <c r="A348" s="13"/>
      <c r="B348" s="11" t="s">
        <v>3363</v>
      </c>
      <c r="C348" s="107" t="s">
        <v>3278</v>
      </c>
      <c r="D348" s="362" t="s">
        <v>3279</v>
      </c>
      <c r="E348" s="12"/>
      <c r="F348" s="9" t="s">
        <v>15</v>
      </c>
      <c r="G348" s="37" t="s">
        <v>16</v>
      </c>
      <c r="H348" s="34" t="s">
        <v>96</v>
      </c>
      <c r="I348" s="17" t="s">
        <v>572</v>
      </c>
      <c r="J348" s="143" t="s">
        <v>634</v>
      </c>
      <c r="K348" s="18" t="s">
        <v>3280</v>
      </c>
      <c r="L348" s="25" t="s">
        <v>3226</v>
      </c>
      <c r="M348" s="25" t="s">
        <v>3226</v>
      </c>
      <c r="N348" s="39" t="s">
        <v>3281</v>
      </c>
      <c r="O348" s="2" t="s">
        <v>1403</v>
      </c>
      <c r="P348" s="2" t="s">
        <v>1403</v>
      </c>
      <c r="Q348" s="2" t="s">
        <v>1403</v>
      </c>
      <c r="R348" s="12">
        <v>6</v>
      </c>
    </row>
    <row r="349" spans="1:19" ht="112.15" customHeight="1">
      <c r="A349" s="13"/>
      <c r="B349" s="11" t="s">
        <v>1289</v>
      </c>
      <c r="C349" s="11" t="s">
        <v>635</v>
      </c>
      <c r="D349" s="31" t="s">
        <v>636</v>
      </c>
      <c r="E349" s="12"/>
      <c r="F349" s="37">
        <v>4</v>
      </c>
      <c r="G349" s="37" t="s">
        <v>190</v>
      </c>
      <c r="H349" s="34" t="s">
        <v>96</v>
      </c>
      <c r="I349" s="24" t="s">
        <v>1468</v>
      </c>
      <c r="J349" s="26" t="s">
        <v>637</v>
      </c>
      <c r="K349" s="18" t="s">
        <v>136</v>
      </c>
      <c r="L349" s="125" t="s">
        <v>46</v>
      </c>
      <c r="M349" s="25"/>
      <c r="Q349" s="3">
        <v>32785</v>
      </c>
      <c r="S349" s="3" t="s">
        <v>1745</v>
      </c>
    </row>
    <row r="350" spans="1:19" ht="300">
      <c r="A350" s="13"/>
      <c r="B350" s="11" t="s">
        <v>955</v>
      </c>
      <c r="C350" s="11" t="s">
        <v>956</v>
      </c>
      <c r="D350" s="31" t="s">
        <v>1600</v>
      </c>
      <c r="E350" s="12"/>
      <c r="F350" s="37">
        <v>4</v>
      </c>
      <c r="G350" s="37" t="s">
        <v>190</v>
      </c>
      <c r="H350" s="34" t="s">
        <v>96</v>
      </c>
      <c r="I350" s="24" t="s">
        <v>1468</v>
      </c>
      <c r="J350" s="26"/>
      <c r="K350" s="18" t="s">
        <v>1599</v>
      </c>
      <c r="L350" s="25" t="s">
        <v>951</v>
      </c>
      <c r="M350" s="25"/>
      <c r="O350" s="3" t="s">
        <v>957</v>
      </c>
      <c r="Q350" s="3">
        <v>8853</v>
      </c>
      <c r="R350" s="162" t="s">
        <v>2294</v>
      </c>
    </row>
    <row r="351" spans="1:19" ht="309" customHeight="1">
      <c r="A351" s="13"/>
      <c r="B351" s="11" t="s">
        <v>1290</v>
      </c>
      <c r="C351" s="11" t="s">
        <v>638</v>
      </c>
      <c r="D351" s="31" t="s">
        <v>1041</v>
      </c>
      <c r="E351" s="12"/>
      <c r="F351" s="37" t="s">
        <v>639</v>
      </c>
      <c r="G351" s="37" t="s">
        <v>640</v>
      </c>
      <c r="H351" s="34" t="s">
        <v>96</v>
      </c>
      <c r="I351" s="17" t="s">
        <v>572</v>
      </c>
      <c r="J351" s="146" t="s">
        <v>641</v>
      </c>
      <c r="K351" s="18" t="s">
        <v>1886</v>
      </c>
      <c r="L351" s="25"/>
      <c r="M351" s="25" t="s">
        <v>1785</v>
      </c>
      <c r="N351" s="2" t="s">
        <v>423</v>
      </c>
      <c r="O351" s="2" t="s">
        <v>423</v>
      </c>
      <c r="P351" s="2" t="s">
        <v>423</v>
      </c>
      <c r="Q351" s="2" t="s">
        <v>423</v>
      </c>
      <c r="R351" s="162" t="s">
        <v>2690</v>
      </c>
    </row>
    <row r="352" spans="1:19" ht="309" customHeight="1">
      <c r="A352" s="13"/>
      <c r="B352" s="11" t="s">
        <v>1951</v>
      </c>
      <c r="C352" s="11" t="s">
        <v>1952</v>
      </c>
      <c r="D352" s="31" t="s">
        <v>1953</v>
      </c>
      <c r="E352" s="12"/>
      <c r="F352" s="37"/>
      <c r="G352" s="37" t="s">
        <v>175</v>
      </c>
      <c r="H352" s="34" t="s">
        <v>96</v>
      </c>
      <c r="I352" s="17" t="s">
        <v>55</v>
      </c>
      <c r="J352" s="146"/>
      <c r="K352" s="18" t="s">
        <v>1954</v>
      </c>
      <c r="L352" s="98" t="s">
        <v>1955</v>
      </c>
      <c r="M352" s="98"/>
      <c r="O352" s="2"/>
      <c r="P352" s="2"/>
      <c r="Q352" s="2"/>
      <c r="R352" s="3" t="s">
        <v>3147</v>
      </c>
    </row>
    <row r="353" spans="1:19" ht="387.75" customHeight="1">
      <c r="A353" s="13"/>
      <c r="B353" s="11" t="s">
        <v>1956</v>
      </c>
      <c r="C353" s="11" t="s">
        <v>1957</v>
      </c>
      <c r="D353" s="31" t="s">
        <v>1958</v>
      </c>
      <c r="E353" s="12"/>
      <c r="F353" s="37"/>
      <c r="G353" s="37" t="s">
        <v>175</v>
      </c>
      <c r="H353" s="34" t="s">
        <v>96</v>
      </c>
      <c r="I353" s="17" t="s">
        <v>55</v>
      </c>
      <c r="J353" s="146"/>
      <c r="K353" s="18" t="s">
        <v>1954</v>
      </c>
      <c r="L353" s="98" t="s">
        <v>1906</v>
      </c>
      <c r="M353" s="98" t="s">
        <v>1906</v>
      </c>
      <c r="O353" s="2"/>
      <c r="P353" s="2"/>
      <c r="Q353" s="2"/>
    </row>
    <row r="354" spans="1:19" ht="112.5">
      <c r="A354" s="13"/>
      <c r="B354" s="11" t="s">
        <v>1291</v>
      </c>
      <c r="C354" s="11" t="s">
        <v>642</v>
      </c>
      <c r="D354" s="31" t="s">
        <v>2809</v>
      </c>
      <c r="E354" s="12"/>
      <c r="F354" s="37">
        <v>4</v>
      </c>
      <c r="G354" s="37" t="s">
        <v>16</v>
      </c>
      <c r="H354" s="34" t="s">
        <v>96</v>
      </c>
      <c r="I354" s="17" t="s">
        <v>572</v>
      </c>
      <c r="J354" s="146" t="s">
        <v>643</v>
      </c>
      <c r="K354" s="18" t="s">
        <v>1946</v>
      </c>
      <c r="L354" s="25" t="s">
        <v>1859</v>
      </c>
      <c r="M354" s="25"/>
      <c r="N354" s="2">
        <v>32785</v>
      </c>
      <c r="P354" s="2">
        <v>32785</v>
      </c>
      <c r="Q354" s="2">
        <v>32785</v>
      </c>
      <c r="R354" s="12" t="s">
        <v>3172</v>
      </c>
    </row>
    <row r="355" spans="1:19" ht="262.5">
      <c r="A355" s="13"/>
      <c r="B355" s="11" t="s">
        <v>1879</v>
      </c>
      <c r="C355" s="11" t="s">
        <v>2449</v>
      </c>
      <c r="D355" s="31" t="s">
        <v>2365</v>
      </c>
      <c r="E355" s="13"/>
      <c r="F355" s="9" t="s">
        <v>15</v>
      </c>
      <c r="G355" s="37"/>
      <c r="H355" s="57"/>
      <c r="I355" s="17" t="s">
        <v>420</v>
      </c>
      <c r="J355" s="146" t="s">
        <v>645</v>
      </c>
      <c r="K355" s="18" t="s">
        <v>2363</v>
      </c>
      <c r="L355" s="20" t="s">
        <v>1887</v>
      </c>
      <c r="M355" s="20" t="s">
        <v>1887</v>
      </c>
      <c r="N355" s="39" t="s">
        <v>2627</v>
      </c>
      <c r="O355" s="39" t="s">
        <v>2627</v>
      </c>
      <c r="P355" s="39" t="s">
        <v>2627</v>
      </c>
      <c r="Q355" s="39" t="s">
        <v>2627</v>
      </c>
      <c r="R355" s="3" t="s">
        <v>3366</v>
      </c>
    </row>
    <row r="356" spans="1:19" ht="254.25" customHeight="1">
      <c r="A356" s="13"/>
      <c r="B356" s="11" t="s">
        <v>1292</v>
      </c>
      <c r="C356" s="66" t="s">
        <v>646</v>
      </c>
      <c r="D356" s="11" t="s">
        <v>647</v>
      </c>
      <c r="E356" s="37"/>
      <c r="F356" s="9">
        <v>3</v>
      </c>
      <c r="G356" s="12" t="s">
        <v>16</v>
      </c>
      <c r="H356" s="58" t="s">
        <v>43</v>
      </c>
      <c r="I356" s="17" t="s">
        <v>19</v>
      </c>
      <c r="J356" s="26" t="s">
        <v>648</v>
      </c>
      <c r="K356" s="14">
        <v>44655</v>
      </c>
      <c r="L356" s="45" t="s">
        <v>25</v>
      </c>
      <c r="M356" s="84"/>
      <c r="N356" s="2" t="s">
        <v>172</v>
      </c>
      <c r="O356" s="3" t="s">
        <v>885</v>
      </c>
      <c r="Q356" s="2">
        <v>32785</v>
      </c>
    </row>
    <row r="357" spans="1:19" ht="210.75" customHeight="1">
      <c r="A357" s="13"/>
      <c r="B357" s="11" t="s">
        <v>1293</v>
      </c>
      <c r="C357" s="66" t="s">
        <v>649</v>
      </c>
      <c r="D357" s="32" t="s">
        <v>650</v>
      </c>
      <c r="E357" s="37"/>
      <c r="F357" s="9">
        <v>3</v>
      </c>
      <c r="G357" s="12" t="s">
        <v>16</v>
      </c>
      <c r="H357" s="58" t="s">
        <v>43</v>
      </c>
      <c r="I357" s="9" t="s">
        <v>651</v>
      </c>
      <c r="J357" s="26" t="s">
        <v>652</v>
      </c>
      <c r="K357" s="18" t="s">
        <v>136</v>
      </c>
      <c r="L357" s="25" t="s">
        <v>58</v>
      </c>
      <c r="M357" s="25"/>
      <c r="N357" s="2">
        <v>32192</v>
      </c>
      <c r="O357" s="3">
        <v>7</v>
      </c>
    </row>
    <row r="358" spans="1:19" ht="300">
      <c r="A358" s="13"/>
      <c r="B358" s="11" t="s">
        <v>1294</v>
      </c>
      <c r="C358" s="10" t="s">
        <v>653</v>
      </c>
      <c r="D358" s="32" t="s">
        <v>1376</v>
      </c>
      <c r="E358" s="37"/>
      <c r="F358" s="9">
        <v>3</v>
      </c>
      <c r="G358" s="12" t="s">
        <v>16</v>
      </c>
      <c r="H358" s="58" t="s">
        <v>43</v>
      </c>
      <c r="I358" s="17" t="s">
        <v>19</v>
      </c>
      <c r="J358" s="26" t="s">
        <v>654</v>
      </c>
      <c r="K358" s="18" t="s">
        <v>1374</v>
      </c>
      <c r="L358" s="20" t="s">
        <v>1375</v>
      </c>
      <c r="M358" s="20"/>
      <c r="N358" s="2">
        <v>32714</v>
      </c>
      <c r="P358" s="2">
        <v>32192</v>
      </c>
      <c r="R358" s="3" t="s">
        <v>2675</v>
      </c>
      <c r="S358" s="3" t="s">
        <v>1745</v>
      </c>
    </row>
    <row r="359" spans="1:19" ht="186" customHeight="1">
      <c r="A359" s="13"/>
      <c r="B359" s="10" t="s">
        <v>2584</v>
      </c>
      <c r="C359" s="10" t="s">
        <v>2585</v>
      </c>
      <c r="D359" s="11" t="s">
        <v>3135</v>
      </c>
      <c r="E359" s="37"/>
      <c r="F359" s="37"/>
      <c r="G359" s="37"/>
      <c r="H359" s="152" t="s">
        <v>1499</v>
      </c>
      <c r="I359" s="9"/>
      <c r="J359" s="10" t="s">
        <v>655</v>
      </c>
      <c r="K359" s="76" t="s">
        <v>2586</v>
      </c>
      <c r="L359" s="77" t="s">
        <v>2587</v>
      </c>
      <c r="M359" s="77"/>
    </row>
    <row r="360" spans="1:19" ht="243" customHeight="1">
      <c r="A360" s="13"/>
      <c r="B360" s="11" t="s">
        <v>656</v>
      </c>
      <c r="C360" s="10" t="s">
        <v>1926</v>
      </c>
      <c r="D360" s="31" t="s">
        <v>1927</v>
      </c>
      <c r="E360" s="12"/>
      <c r="F360" s="37">
        <v>4</v>
      </c>
      <c r="G360" s="37" t="s">
        <v>16</v>
      </c>
      <c r="H360" s="34" t="s">
        <v>96</v>
      </c>
      <c r="I360" s="17" t="s">
        <v>572</v>
      </c>
      <c r="J360" s="143" t="s">
        <v>657</v>
      </c>
      <c r="K360" s="18" t="s">
        <v>1925</v>
      </c>
      <c r="L360" s="25" t="s">
        <v>1859</v>
      </c>
      <c r="M360" s="25" t="s">
        <v>1859</v>
      </c>
      <c r="N360" s="2">
        <v>32785</v>
      </c>
      <c r="P360" s="2">
        <v>32785</v>
      </c>
      <c r="Q360" s="2">
        <v>32785</v>
      </c>
      <c r="R360" s="12">
        <v>7</v>
      </c>
    </row>
    <row r="361" spans="1:19" ht="243" customHeight="1">
      <c r="A361" s="13"/>
      <c r="B361" s="11" t="s">
        <v>2121</v>
      </c>
      <c r="C361" s="10" t="s">
        <v>2122</v>
      </c>
      <c r="D361" s="31" t="s">
        <v>2123</v>
      </c>
      <c r="E361" s="12"/>
      <c r="F361" s="37">
        <v>3</v>
      </c>
      <c r="G361" s="37"/>
      <c r="H361" s="34"/>
      <c r="I361" s="10" t="s">
        <v>2124</v>
      </c>
      <c r="J361" s="143"/>
      <c r="K361" s="18" t="s">
        <v>2125</v>
      </c>
      <c r="M361" s="25" t="s">
        <v>2126</v>
      </c>
      <c r="P361" s="2"/>
      <c r="Q361" s="2"/>
      <c r="R361" s="12">
        <v>4</v>
      </c>
    </row>
    <row r="362" spans="1:19" ht="315" customHeight="1">
      <c r="A362" s="13"/>
      <c r="B362" s="11" t="s">
        <v>1933</v>
      </c>
      <c r="C362" s="10" t="s">
        <v>2446</v>
      </c>
      <c r="D362" s="31" t="s">
        <v>1934</v>
      </c>
      <c r="E362" s="12"/>
      <c r="F362" s="37"/>
      <c r="G362" s="37" t="s">
        <v>16</v>
      </c>
      <c r="H362" s="34" t="s">
        <v>96</v>
      </c>
      <c r="I362" s="17" t="s">
        <v>55</v>
      </c>
      <c r="J362" s="143" t="s">
        <v>658</v>
      </c>
      <c r="K362" s="18" t="s">
        <v>2392</v>
      </c>
      <c r="L362" s="124" t="s">
        <v>2393</v>
      </c>
      <c r="M362" s="20"/>
      <c r="N362" s="2">
        <v>32785</v>
      </c>
      <c r="O362" s="3" t="s">
        <v>881</v>
      </c>
      <c r="P362" s="2">
        <v>32785</v>
      </c>
      <c r="Q362" s="2">
        <v>32785</v>
      </c>
      <c r="R362" s="3" t="s">
        <v>3267</v>
      </c>
    </row>
    <row r="363" spans="1:19" ht="200.25" customHeight="1">
      <c r="A363" s="13"/>
      <c r="B363" s="11" t="s">
        <v>1295</v>
      </c>
      <c r="C363" s="11" t="s">
        <v>2695</v>
      </c>
      <c r="D363" s="339" t="s">
        <v>2696</v>
      </c>
      <c r="E363" s="12"/>
      <c r="F363" s="37">
        <v>3</v>
      </c>
      <c r="G363" s="37" t="s">
        <v>16</v>
      </c>
      <c r="H363" s="34" t="s">
        <v>96</v>
      </c>
      <c r="I363" s="24" t="s">
        <v>571</v>
      </c>
      <c r="J363" s="53" t="s">
        <v>659</v>
      </c>
      <c r="K363" s="119">
        <v>45965</v>
      </c>
      <c r="L363" s="344" t="s">
        <v>1717</v>
      </c>
      <c r="M363" s="25" t="s">
        <v>1375</v>
      </c>
      <c r="N363" s="2" t="s">
        <v>3018</v>
      </c>
      <c r="O363" s="331"/>
      <c r="R363" s="12">
        <v>4</v>
      </c>
    </row>
    <row r="364" spans="1:19" ht="315" customHeight="1">
      <c r="A364" s="13"/>
      <c r="B364" s="11" t="s">
        <v>660</v>
      </c>
      <c r="C364" s="11" t="s">
        <v>661</v>
      </c>
      <c r="D364" s="31" t="s">
        <v>1500</v>
      </c>
      <c r="E364" s="12"/>
      <c r="F364" s="37">
        <v>4</v>
      </c>
      <c r="G364" s="37" t="s">
        <v>179</v>
      </c>
      <c r="H364" s="34" t="s">
        <v>170</v>
      </c>
      <c r="I364" s="24" t="s">
        <v>1501</v>
      </c>
      <c r="J364" s="17" t="s">
        <v>662</v>
      </c>
      <c r="K364" s="18" t="s">
        <v>1374</v>
      </c>
      <c r="L364" s="25" t="s">
        <v>1381</v>
      </c>
      <c r="N364" s="2">
        <v>32785</v>
      </c>
      <c r="O364" s="2">
        <v>32785</v>
      </c>
      <c r="P364" s="2">
        <v>32785</v>
      </c>
      <c r="Q364" s="2">
        <v>32785</v>
      </c>
      <c r="R364" s="162" t="s">
        <v>2576</v>
      </c>
    </row>
    <row r="365" spans="1:19" ht="112.5">
      <c r="A365" s="13"/>
      <c r="B365" s="11" t="s">
        <v>3187</v>
      </c>
      <c r="C365" s="11" t="s">
        <v>3189</v>
      </c>
      <c r="D365" s="151" t="s">
        <v>3188</v>
      </c>
      <c r="E365" s="12"/>
      <c r="F365" s="37">
        <v>3</v>
      </c>
      <c r="G365" s="37" t="s">
        <v>16</v>
      </c>
      <c r="H365" s="34" t="s">
        <v>96</v>
      </c>
      <c r="I365" s="17" t="s">
        <v>572</v>
      </c>
      <c r="J365" s="17" t="s">
        <v>663</v>
      </c>
      <c r="K365" s="18" t="s">
        <v>3190</v>
      </c>
      <c r="L365" s="25" t="s">
        <v>1730</v>
      </c>
      <c r="M365" s="25" t="s">
        <v>1730</v>
      </c>
      <c r="P365" s="3">
        <v>9676</v>
      </c>
      <c r="R365" s="9">
        <v>4</v>
      </c>
    </row>
    <row r="366" spans="1:19" ht="281.25">
      <c r="A366" s="13"/>
      <c r="B366" s="11" t="s">
        <v>1984</v>
      </c>
      <c r="C366" s="11" t="s">
        <v>1985</v>
      </c>
      <c r="D366" s="31" t="s">
        <v>1986</v>
      </c>
      <c r="E366" s="12"/>
      <c r="F366" s="37">
        <v>3</v>
      </c>
      <c r="G366" s="37" t="s">
        <v>16</v>
      </c>
      <c r="H366" s="34" t="s">
        <v>96</v>
      </c>
      <c r="I366" s="10" t="s">
        <v>1987</v>
      </c>
      <c r="J366" s="17"/>
      <c r="K366" s="18" t="s">
        <v>1988</v>
      </c>
      <c r="L366" s="25" t="s">
        <v>1989</v>
      </c>
      <c r="R366" s="162" t="s">
        <v>2428</v>
      </c>
    </row>
    <row r="367" spans="1:19" ht="232.5" customHeight="1">
      <c r="A367" s="13"/>
      <c r="B367" s="11" t="s">
        <v>1445</v>
      </c>
      <c r="C367" s="11" t="s">
        <v>664</v>
      </c>
      <c r="D367" s="31" t="s">
        <v>1447</v>
      </c>
      <c r="E367" s="12"/>
      <c r="F367" s="37">
        <v>3</v>
      </c>
      <c r="G367" s="37" t="s">
        <v>16</v>
      </c>
      <c r="H367" s="34" t="s">
        <v>96</v>
      </c>
      <c r="I367" s="75" t="s">
        <v>1446</v>
      </c>
      <c r="J367" s="17" t="s">
        <v>665</v>
      </c>
      <c r="K367" s="18" t="s">
        <v>2366</v>
      </c>
      <c r="L367" s="20" t="s">
        <v>1676</v>
      </c>
      <c r="M367" s="20" t="s">
        <v>1676</v>
      </c>
      <c r="N367" s="2">
        <v>32785</v>
      </c>
      <c r="P367" s="2">
        <v>32192</v>
      </c>
      <c r="Q367" s="2">
        <v>8853</v>
      </c>
      <c r="R367" s="12" t="s">
        <v>3143</v>
      </c>
    </row>
    <row r="368" spans="1:19" ht="393.75">
      <c r="A368" s="13"/>
      <c r="B368" s="11" t="s">
        <v>1296</v>
      </c>
      <c r="C368" s="11" t="s">
        <v>1753</v>
      </c>
      <c r="D368" s="31" t="s">
        <v>1580</v>
      </c>
      <c r="E368" s="12"/>
      <c r="F368" s="37"/>
      <c r="G368" s="37" t="s">
        <v>16</v>
      </c>
      <c r="H368" s="34" t="s">
        <v>96</v>
      </c>
      <c r="I368" s="153" t="s">
        <v>571</v>
      </c>
      <c r="J368" s="17" t="s">
        <v>666</v>
      </c>
      <c r="K368" s="18" t="s">
        <v>1754</v>
      </c>
      <c r="M368" s="25" t="s">
        <v>1676</v>
      </c>
      <c r="N368" s="2">
        <v>32785</v>
      </c>
      <c r="O368" s="3">
        <v>3</v>
      </c>
      <c r="P368" s="2">
        <v>32785</v>
      </c>
    </row>
    <row r="369" spans="1:18" ht="208.5" customHeight="1">
      <c r="A369" s="13"/>
      <c r="B369" s="11" t="s">
        <v>2960</v>
      </c>
      <c r="C369" s="11" t="s">
        <v>2961</v>
      </c>
      <c r="D369" s="31" t="s">
        <v>2962</v>
      </c>
      <c r="E369" s="12"/>
      <c r="F369" s="37">
        <v>4</v>
      </c>
      <c r="G369" s="37" t="s">
        <v>16</v>
      </c>
      <c r="H369" s="34" t="s">
        <v>96</v>
      </c>
      <c r="I369" s="153" t="s">
        <v>667</v>
      </c>
      <c r="J369" s="17" t="s">
        <v>668</v>
      </c>
      <c r="K369" s="18" t="s">
        <v>2956</v>
      </c>
      <c r="L369" s="25" t="s">
        <v>1543</v>
      </c>
      <c r="M369" s="25" t="s">
        <v>2887</v>
      </c>
      <c r="N369" s="2">
        <v>8853</v>
      </c>
      <c r="O369" s="3">
        <v>3</v>
      </c>
      <c r="Q369" s="2">
        <v>8853</v>
      </c>
      <c r="R369" s="12" t="s">
        <v>3139</v>
      </c>
    </row>
    <row r="370" spans="1:18" ht="409.5">
      <c r="A370" s="13"/>
      <c r="B370" s="107" t="s">
        <v>1120</v>
      </c>
      <c r="C370" s="107" t="s">
        <v>1121</v>
      </c>
      <c r="D370" s="31" t="s">
        <v>1079</v>
      </c>
      <c r="E370" s="12"/>
      <c r="F370" s="37">
        <v>4</v>
      </c>
      <c r="G370" s="37" t="s">
        <v>16</v>
      </c>
      <c r="H370" s="34" t="s">
        <v>96</v>
      </c>
      <c r="I370" s="17" t="s">
        <v>572</v>
      </c>
      <c r="J370" s="17"/>
      <c r="K370" s="18" t="s">
        <v>1736</v>
      </c>
      <c r="L370" s="25"/>
      <c r="M370" s="25" t="s">
        <v>1676</v>
      </c>
      <c r="N370" s="2">
        <v>8853</v>
      </c>
      <c r="Q370" s="2">
        <v>8853</v>
      </c>
      <c r="R370" s="12" t="s">
        <v>2984</v>
      </c>
    </row>
    <row r="371" spans="1:18" ht="409.5">
      <c r="A371" s="13"/>
      <c r="B371" s="100" t="s">
        <v>1081</v>
      </c>
      <c r="C371" s="100" t="s">
        <v>2323</v>
      </c>
      <c r="D371" s="31" t="s">
        <v>2324</v>
      </c>
      <c r="E371" s="12"/>
      <c r="F371" s="37">
        <v>4</v>
      </c>
      <c r="G371" s="37" t="s">
        <v>16</v>
      </c>
      <c r="H371" s="34" t="s">
        <v>96</v>
      </c>
      <c r="I371" s="17" t="s">
        <v>572</v>
      </c>
      <c r="J371" s="17"/>
      <c r="K371" s="154" t="s">
        <v>2315</v>
      </c>
      <c r="L371" s="155"/>
      <c r="M371" s="155" t="s">
        <v>1634</v>
      </c>
      <c r="N371" s="2">
        <v>32714</v>
      </c>
      <c r="Q371" s="2">
        <v>8853</v>
      </c>
      <c r="R371" s="12" t="s">
        <v>2984</v>
      </c>
    </row>
    <row r="372" spans="1:18" ht="282.75" customHeight="1">
      <c r="A372" s="13"/>
      <c r="B372" s="11" t="s">
        <v>965</v>
      </c>
      <c r="C372" s="11" t="s">
        <v>966</v>
      </c>
      <c r="D372" s="31" t="s">
        <v>1765</v>
      </c>
      <c r="E372" s="12"/>
      <c r="F372" s="37">
        <v>4</v>
      </c>
      <c r="G372" s="37" t="s">
        <v>16</v>
      </c>
      <c r="H372" s="34" t="s">
        <v>96</v>
      </c>
      <c r="I372" s="75" t="s">
        <v>967</v>
      </c>
      <c r="J372" s="17"/>
      <c r="K372" s="154" t="s">
        <v>1762</v>
      </c>
      <c r="L372" s="155" t="s">
        <v>1637</v>
      </c>
      <c r="M372" s="25"/>
      <c r="N372" s="2">
        <v>32785</v>
      </c>
      <c r="O372" s="3" t="s">
        <v>968</v>
      </c>
      <c r="Q372" s="3">
        <v>32714</v>
      </c>
      <c r="R372" s="162" t="s">
        <v>2239</v>
      </c>
    </row>
    <row r="373" spans="1:18" ht="358.5" customHeight="1">
      <c r="A373" s="13"/>
      <c r="B373" s="11" t="s">
        <v>1620</v>
      </c>
      <c r="C373" s="11" t="s">
        <v>2447</v>
      </c>
      <c r="D373" s="31" t="s">
        <v>2868</v>
      </c>
      <c r="E373" s="37"/>
      <c r="F373" s="37" t="s">
        <v>15</v>
      </c>
      <c r="G373" s="37" t="s">
        <v>16</v>
      </c>
      <c r="H373" s="34" t="s">
        <v>669</v>
      </c>
      <c r="I373" s="17" t="s">
        <v>572</v>
      </c>
      <c r="J373" s="48" t="s">
        <v>670</v>
      </c>
      <c r="K373" s="18" t="s">
        <v>2869</v>
      </c>
      <c r="L373" s="20" t="s">
        <v>1592</v>
      </c>
      <c r="M373" s="20" t="s">
        <v>1592</v>
      </c>
      <c r="N373" s="2" t="s">
        <v>2341</v>
      </c>
      <c r="O373" s="3" t="s">
        <v>891</v>
      </c>
      <c r="P373" s="99" t="s">
        <v>2575</v>
      </c>
      <c r="R373" s="3" t="s">
        <v>2234</v>
      </c>
    </row>
    <row r="374" spans="1:18" ht="350.25" customHeight="1">
      <c r="A374" s="13"/>
      <c r="B374" s="11" t="s">
        <v>1620</v>
      </c>
      <c r="C374" s="11" t="s">
        <v>2870</v>
      </c>
      <c r="D374" s="31" t="s">
        <v>2868</v>
      </c>
      <c r="E374" s="3" t="s">
        <v>887</v>
      </c>
      <c r="F374" s="37" t="s">
        <v>15</v>
      </c>
      <c r="G374" s="37" t="s">
        <v>16</v>
      </c>
      <c r="H374" s="34" t="s">
        <v>96</v>
      </c>
      <c r="I374" s="17" t="s">
        <v>420</v>
      </c>
      <c r="J374" s="48" t="s">
        <v>670</v>
      </c>
      <c r="K374" s="18" t="s">
        <v>2869</v>
      </c>
      <c r="L374" s="20" t="s">
        <v>1592</v>
      </c>
      <c r="M374" s="20" t="s">
        <v>1592</v>
      </c>
      <c r="N374" s="2" t="s">
        <v>3047</v>
      </c>
      <c r="O374" s="2" t="s">
        <v>3047</v>
      </c>
      <c r="P374" s="2" t="s">
        <v>3047</v>
      </c>
      <c r="Q374" s="2" t="s">
        <v>3047</v>
      </c>
      <c r="R374" s="3" t="s">
        <v>887</v>
      </c>
    </row>
    <row r="375" spans="1:18" ht="237" customHeight="1">
      <c r="A375" s="13"/>
      <c r="B375" s="11" t="s">
        <v>1297</v>
      </c>
      <c r="C375" s="11" t="s">
        <v>671</v>
      </c>
      <c r="D375" s="31" t="s">
        <v>672</v>
      </c>
      <c r="E375" s="12"/>
      <c r="F375" s="37"/>
      <c r="G375" s="37" t="s">
        <v>16</v>
      </c>
      <c r="H375" s="34" t="s">
        <v>96</v>
      </c>
      <c r="I375" s="17" t="s">
        <v>571</v>
      </c>
      <c r="J375" s="10" t="s">
        <v>673</v>
      </c>
      <c r="K375" s="186" t="s">
        <v>1723</v>
      </c>
      <c r="L375" s="127" t="s">
        <v>1634</v>
      </c>
      <c r="M375" s="127"/>
      <c r="N375" s="2">
        <v>32192</v>
      </c>
      <c r="R375" s="3" t="s">
        <v>2864</v>
      </c>
    </row>
    <row r="376" spans="1:18" ht="409.5">
      <c r="A376" s="13"/>
      <c r="B376" s="11" t="s">
        <v>674</v>
      </c>
      <c r="C376" s="11" t="s">
        <v>675</v>
      </c>
      <c r="D376" s="31" t="s">
        <v>676</v>
      </c>
      <c r="E376" s="12"/>
      <c r="F376" s="37"/>
      <c r="G376" s="37" t="s">
        <v>16</v>
      </c>
      <c r="H376" s="34" t="s">
        <v>96</v>
      </c>
      <c r="I376" s="156" t="s">
        <v>55</v>
      </c>
      <c r="J376" s="53" t="s">
        <v>677</v>
      </c>
      <c r="K376" s="14">
        <v>44747</v>
      </c>
      <c r="L376" s="25" t="s">
        <v>58</v>
      </c>
      <c r="M376" s="25"/>
    </row>
    <row r="377" spans="1:18" ht="409.5">
      <c r="A377" s="13"/>
      <c r="B377" s="11" t="s">
        <v>2101</v>
      </c>
      <c r="C377" s="11" t="s">
        <v>2254</v>
      </c>
      <c r="D377" s="31" t="s">
        <v>2102</v>
      </c>
      <c r="E377" s="12"/>
      <c r="F377" s="37"/>
      <c r="G377" s="37"/>
      <c r="H377" s="34"/>
      <c r="I377" s="156" t="s">
        <v>55</v>
      </c>
      <c r="J377" s="53"/>
      <c r="K377" s="14" t="s">
        <v>2095</v>
      </c>
      <c r="L377" s="25" t="s">
        <v>2034</v>
      </c>
      <c r="M377" s="25" t="s">
        <v>2034</v>
      </c>
    </row>
    <row r="378" spans="1:18" ht="318.75">
      <c r="A378" s="13"/>
      <c r="B378" s="107" t="s">
        <v>1298</v>
      </c>
      <c r="C378" s="136" t="s">
        <v>678</v>
      </c>
      <c r="D378" s="10" t="s">
        <v>2097</v>
      </c>
      <c r="E378" s="12"/>
      <c r="F378" s="37">
        <v>4</v>
      </c>
      <c r="G378" s="37" t="s">
        <v>16</v>
      </c>
      <c r="H378" s="34" t="s">
        <v>96</v>
      </c>
      <c r="I378" s="10" t="s">
        <v>679</v>
      </c>
      <c r="J378" s="17" t="s">
        <v>680</v>
      </c>
      <c r="K378" s="18" t="s">
        <v>2114</v>
      </c>
      <c r="L378" s="25" t="s">
        <v>2085</v>
      </c>
      <c r="M378" s="25" t="s">
        <v>2085</v>
      </c>
      <c r="N378" s="2">
        <v>4860</v>
      </c>
      <c r="Q378" s="3">
        <v>32714</v>
      </c>
      <c r="R378" s="3" t="s">
        <v>3264</v>
      </c>
    </row>
    <row r="379" spans="1:18" ht="345" customHeight="1">
      <c r="A379" s="13"/>
      <c r="B379" s="107" t="s">
        <v>1299</v>
      </c>
      <c r="C379" s="136" t="s">
        <v>681</v>
      </c>
      <c r="D379" s="10" t="s">
        <v>682</v>
      </c>
      <c r="E379" s="12"/>
      <c r="F379" s="37">
        <v>4</v>
      </c>
      <c r="G379" s="37" t="s">
        <v>16</v>
      </c>
      <c r="H379" s="34" t="s">
        <v>96</v>
      </c>
      <c r="I379" s="17" t="s">
        <v>572</v>
      </c>
      <c r="J379" s="17" t="s">
        <v>683</v>
      </c>
      <c r="K379" s="14">
        <v>44809</v>
      </c>
      <c r="L379" s="97" t="s">
        <v>118</v>
      </c>
      <c r="M379" s="98"/>
      <c r="N379" s="2">
        <v>4860</v>
      </c>
      <c r="O379" s="3" t="s">
        <v>684</v>
      </c>
    </row>
    <row r="380" spans="1:18" ht="409.5" customHeight="1">
      <c r="A380" s="13"/>
      <c r="B380" s="107" t="s">
        <v>1300</v>
      </c>
      <c r="C380" s="136" t="s">
        <v>2055</v>
      </c>
      <c r="D380" s="10" t="s">
        <v>919</v>
      </c>
      <c r="E380" s="12"/>
      <c r="F380" s="37">
        <v>4</v>
      </c>
      <c r="G380" s="37" t="s">
        <v>16</v>
      </c>
      <c r="H380" s="34" t="s">
        <v>96</v>
      </c>
      <c r="I380" s="17" t="s">
        <v>572</v>
      </c>
      <c r="J380" s="17" t="s">
        <v>244</v>
      </c>
      <c r="K380" s="18" t="s">
        <v>2053</v>
      </c>
      <c r="L380" s="19" t="s">
        <v>1885</v>
      </c>
      <c r="M380" s="20"/>
      <c r="N380" s="2">
        <v>4860</v>
      </c>
      <c r="O380" s="3" t="s">
        <v>240</v>
      </c>
      <c r="Q380" s="2">
        <v>32714</v>
      </c>
      <c r="R380" s="12" t="s">
        <v>3205</v>
      </c>
    </row>
    <row r="381" spans="1:18" ht="409.5">
      <c r="A381" s="13"/>
      <c r="B381" s="107" t="s">
        <v>2922</v>
      </c>
      <c r="C381" s="136" t="s">
        <v>2118</v>
      </c>
      <c r="D381" s="10" t="s">
        <v>2889</v>
      </c>
      <c r="E381" s="12"/>
      <c r="F381" s="37">
        <v>3</v>
      </c>
      <c r="G381" s="37" t="s">
        <v>16</v>
      </c>
      <c r="H381" s="34" t="s">
        <v>17</v>
      </c>
      <c r="I381" s="24" t="s">
        <v>1470</v>
      </c>
      <c r="J381" s="17" t="s">
        <v>685</v>
      </c>
      <c r="K381" s="18" t="s">
        <v>2117</v>
      </c>
      <c r="L381" s="56" t="s">
        <v>1592</v>
      </c>
      <c r="N381" s="2" t="s">
        <v>172</v>
      </c>
    </row>
    <row r="382" spans="1:18" ht="163.5" customHeight="1">
      <c r="A382" s="13"/>
      <c r="B382" s="107" t="s">
        <v>1301</v>
      </c>
      <c r="C382" s="136" t="s">
        <v>686</v>
      </c>
      <c r="D382" s="10" t="s">
        <v>1127</v>
      </c>
      <c r="E382" s="13"/>
      <c r="F382" s="13">
        <v>4</v>
      </c>
      <c r="G382" s="71" t="s">
        <v>16</v>
      </c>
      <c r="H382" s="34"/>
      <c r="I382" s="34" t="s">
        <v>687</v>
      </c>
      <c r="J382" s="53" t="s">
        <v>688</v>
      </c>
      <c r="K382" s="18" t="s">
        <v>1532</v>
      </c>
      <c r="L382" s="20" t="s">
        <v>1375</v>
      </c>
      <c r="M382" s="20"/>
      <c r="N382" s="2">
        <v>4860</v>
      </c>
      <c r="Q382" s="3">
        <v>32714</v>
      </c>
      <c r="R382" s="162" t="s">
        <v>2397</v>
      </c>
    </row>
    <row r="383" spans="1:18" ht="303.75" customHeight="1">
      <c r="A383" s="13"/>
      <c r="B383" s="11" t="s">
        <v>2860</v>
      </c>
      <c r="C383" s="11" t="s">
        <v>2279</v>
      </c>
      <c r="D383" s="31" t="s">
        <v>2280</v>
      </c>
      <c r="E383" s="37"/>
      <c r="F383" s="12">
        <v>4</v>
      </c>
      <c r="G383" s="9" t="s">
        <v>16</v>
      </c>
      <c r="H383" s="9" t="s">
        <v>96</v>
      </c>
      <c r="I383" s="109" t="s">
        <v>1572</v>
      </c>
      <c r="J383" s="158" t="s">
        <v>689</v>
      </c>
      <c r="K383" s="76" t="s">
        <v>1610</v>
      </c>
      <c r="L383" s="77"/>
      <c r="M383" s="77" t="s">
        <v>1634</v>
      </c>
      <c r="Q383" s="2">
        <v>9676</v>
      </c>
      <c r="R383" s="37" t="s">
        <v>3143</v>
      </c>
    </row>
    <row r="384" spans="1:18" ht="375">
      <c r="A384" s="13"/>
      <c r="B384" s="107" t="s">
        <v>1302</v>
      </c>
      <c r="C384" s="136" t="s">
        <v>690</v>
      </c>
      <c r="D384" s="10" t="s">
        <v>2041</v>
      </c>
      <c r="E384" s="13"/>
      <c r="F384" s="13"/>
      <c r="G384" s="71"/>
      <c r="H384" s="34" t="s">
        <v>691</v>
      </c>
      <c r="I384" s="106" t="s">
        <v>17</v>
      </c>
      <c r="J384" s="159" t="s">
        <v>692</v>
      </c>
      <c r="K384" s="18" t="s">
        <v>1056</v>
      </c>
      <c r="L384" s="125"/>
      <c r="M384" s="125" t="s">
        <v>1936</v>
      </c>
      <c r="R384" s="3" t="s">
        <v>2536</v>
      </c>
    </row>
    <row r="385" spans="1:18" ht="112.5" customHeight="1">
      <c r="A385" s="13"/>
      <c r="B385" s="107" t="s">
        <v>3230</v>
      </c>
      <c r="C385" s="136" t="s">
        <v>3231</v>
      </c>
      <c r="D385" s="10" t="s">
        <v>3362</v>
      </c>
      <c r="E385" s="13"/>
      <c r="F385" s="13"/>
      <c r="G385" s="71" t="s">
        <v>16</v>
      </c>
      <c r="H385" s="9" t="s">
        <v>43</v>
      </c>
      <c r="I385" s="106" t="s">
        <v>17</v>
      </c>
      <c r="J385" s="159" t="s">
        <v>694</v>
      </c>
      <c r="K385" s="18" t="s">
        <v>3232</v>
      </c>
      <c r="L385" s="25" t="s">
        <v>1731</v>
      </c>
      <c r="M385" s="25" t="s">
        <v>1730</v>
      </c>
      <c r="N385" s="2" t="s">
        <v>1768</v>
      </c>
      <c r="O385" s="2" t="s">
        <v>2622</v>
      </c>
      <c r="P385" s="2"/>
      <c r="Q385" s="2"/>
      <c r="R385" s="3" t="s">
        <v>957</v>
      </c>
    </row>
    <row r="386" spans="1:18" ht="262.5">
      <c r="A386" s="13"/>
      <c r="B386" s="107" t="s">
        <v>1900</v>
      </c>
      <c r="C386" s="136" t="s">
        <v>1901</v>
      </c>
      <c r="D386" s="10" t="s">
        <v>1902</v>
      </c>
      <c r="E386" s="13"/>
      <c r="F386" s="13" t="s">
        <v>882</v>
      </c>
      <c r="G386" s="71" t="s">
        <v>16</v>
      </c>
      <c r="H386" s="9" t="s">
        <v>43</v>
      </c>
      <c r="I386" s="106" t="s">
        <v>17</v>
      </c>
      <c r="J386" s="159"/>
      <c r="K386" s="18" t="s">
        <v>1932</v>
      </c>
      <c r="L386" s="25" t="s">
        <v>1944</v>
      </c>
      <c r="M386" s="25" t="s">
        <v>1701</v>
      </c>
      <c r="N386" s="39" t="s">
        <v>1931</v>
      </c>
      <c r="O386" s="39" t="s">
        <v>1931</v>
      </c>
      <c r="P386" s="39" t="s">
        <v>1931</v>
      </c>
      <c r="Q386" s="39" t="s">
        <v>1931</v>
      </c>
      <c r="R386" s="3" t="s">
        <v>2830</v>
      </c>
    </row>
    <row r="387" spans="1:18" ht="285.75" customHeight="1">
      <c r="A387" s="13"/>
      <c r="B387" s="107" t="s">
        <v>3274</v>
      </c>
      <c r="C387" s="136" t="s">
        <v>3275</v>
      </c>
      <c r="D387" s="10" t="s">
        <v>3272</v>
      </c>
      <c r="E387" s="13"/>
      <c r="F387" s="13"/>
      <c r="G387" s="71" t="s">
        <v>16</v>
      </c>
      <c r="H387" s="9" t="s">
        <v>43</v>
      </c>
      <c r="I387" s="106" t="s">
        <v>17</v>
      </c>
      <c r="J387" s="28" t="s">
        <v>695</v>
      </c>
      <c r="K387" s="18" t="s">
        <v>3323</v>
      </c>
      <c r="L387" s="20" t="s">
        <v>3273</v>
      </c>
      <c r="M387" s="20" t="s">
        <v>3226</v>
      </c>
      <c r="N387" s="39" t="s">
        <v>3325</v>
      </c>
      <c r="O387" s="39"/>
      <c r="P387" s="39"/>
      <c r="Q387" s="2"/>
    </row>
    <row r="388" spans="1:18" ht="285.75" customHeight="1">
      <c r="A388" s="13"/>
      <c r="B388" s="107" t="s">
        <v>3274</v>
      </c>
      <c r="C388" s="136" t="s">
        <v>3324</v>
      </c>
      <c r="D388" s="10" t="s">
        <v>3272</v>
      </c>
      <c r="E388" s="13"/>
      <c r="F388" s="13"/>
      <c r="G388" s="71" t="s">
        <v>16</v>
      </c>
      <c r="H388" s="9" t="s">
        <v>43</v>
      </c>
      <c r="I388" s="106" t="s">
        <v>17</v>
      </c>
      <c r="J388" s="28" t="s">
        <v>695</v>
      </c>
      <c r="K388" s="18" t="s">
        <v>3323</v>
      </c>
      <c r="L388" s="20" t="s">
        <v>1859</v>
      </c>
      <c r="M388" s="20" t="s">
        <v>3226</v>
      </c>
      <c r="N388" s="39" t="s">
        <v>3325</v>
      </c>
      <c r="O388" s="2"/>
      <c r="P388" s="2"/>
      <c r="Q388" s="2"/>
    </row>
    <row r="389" spans="1:18" s="131" customFormat="1" ht="56.25">
      <c r="A389" s="234"/>
      <c r="B389" s="235" t="s">
        <v>1304</v>
      </c>
      <c r="C389" s="60" t="s">
        <v>696</v>
      </c>
      <c r="D389" s="60" t="s">
        <v>697</v>
      </c>
      <c r="E389" s="234"/>
      <c r="F389" s="234"/>
      <c r="G389" s="252" t="s">
        <v>16</v>
      </c>
      <c r="H389" s="237" t="s">
        <v>96</v>
      </c>
      <c r="I389" s="60" t="s">
        <v>17</v>
      </c>
      <c r="J389" s="253" t="s">
        <v>698</v>
      </c>
      <c r="K389" s="242" t="s">
        <v>897</v>
      </c>
      <c r="L389" s="22" t="s">
        <v>34</v>
      </c>
      <c r="M389" s="23"/>
      <c r="N389" s="255">
        <v>7271</v>
      </c>
      <c r="O389" s="131" t="s">
        <v>63</v>
      </c>
      <c r="P389" s="258">
        <v>44510</v>
      </c>
      <c r="Q389" s="22" t="s">
        <v>72</v>
      </c>
      <c r="R389" s="131" t="s">
        <v>2108</v>
      </c>
    </row>
    <row r="390" spans="1:18" s="131" customFormat="1" ht="291.75" customHeight="1">
      <c r="A390" s="234"/>
      <c r="B390" s="235" t="s">
        <v>1305</v>
      </c>
      <c r="C390" s="60" t="s">
        <v>699</v>
      </c>
      <c r="D390" s="235" t="s">
        <v>700</v>
      </c>
      <c r="E390" s="234"/>
      <c r="F390" s="234"/>
      <c r="G390" s="252"/>
      <c r="H390" s="239" t="s">
        <v>124</v>
      </c>
      <c r="I390" s="60"/>
      <c r="J390" s="253" t="s">
        <v>701</v>
      </c>
      <c r="K390" s="242" t="s">
        <v>91</v>
      </c>
      <c r="L390" s="254" t="s">
        <v>92</v>
      </c>
      <c r="M390" s="254"/>
      <c r="N390" s="255" t="s">
        <v>70</v>
      </c>
      <c r="R390" s="131" t="s">
        <v>2061</v>
      </c>
    </row>
    <row r="391" spans="1:18" ht="409.5">
      <c r="A391" s="13"/>
      <c r="B391" s="107" t="s">
        <v>1306</v>
      </c>
      <c r="C391" s="136" t="s">
        <v>702</v>
      </c>
      <c r="D391" s="10" t="s">
        <v>1655</v>
      </c>
      <c r="E391" s="13"/>
      <c r="F391" s="13">
        <v>4</v>
      </c>
      <c r="G391" s="71" t="s">
        <v>16</v>
      </c>
      <c r="H391" s="9" t="s">
        <v>96</v>
      </c>
      <c r="I391" s="10" t="s">
        <v>19</v>
      </c>
      <c r="J391" s="17"/>
      <c r="K391" s="18" t="s">
        <v>1654</v>
      </c>
      <c r="L391" s="56" t="s">
        <v>1680</v>
      </c>
      <c r="N391" s="2">
        <v>32714</v>
      </c>
      <c r="Q391" s="3">
        <v>32714</v>
      </c>
      <c r="R391" s="162" t="s">
        <v>2328</v>
      </c>
    </row>
    <row r="392" spans="1:18" ht="254.25" customHeight="1">
      <c r="A392" s="13"/>
      <c r="B392" s="10" t="s">
        <v>1307</v>
      </c>
      <c r="C392" s="74" t="s">
        <v>2795</v>
      </c>
      <c r="D392" s="11" t="s">
        <v>2796</v>
      </c>
      <c r="E392" s="13">
        <v>4</v>
      </c>
      <c r="F392" s="13">
        <v>3</v>
      </c>
      <c r="G392" s="71" t="s">
        <v>16</v>
      </c>
      <c r="H392" s="9" t="s">
        <v>96</v>
      </c>
      <c r="I392" s="10" t="s">
        <v>2904</v>
      </c>
      <c r="J392" s="17" t="s">
        <v>703</v>
      </c>
      <c r="K392" s="122" t="s">
        <v>2794</v>
      </c>
      <c r="L392" s="344" t="s">
        <v>2997</v>
      </c>
      <c r="M392" s="20" t="s">
        <v>1534</v>
      </c>
      <c r="N392" s="2">
        <v>32785</v>
      </c>
      <c r="P392" s="3">
        <v>32785</v>
      </c>
      <c r="Q392" s="2">
        <v>32785</v>
      </c>
    </row>
    <row r="393" spans="1:18" ht="318.75">
      <c r="A393" s="13"/>
      <c r="B393" s="10" t="s">
        <v>1308</v>
      </c>
      <c r="C393" s="10" t="s">
        <v>704</v>
      </c>
      <c r="D393" s="11" t="s">
        <v>1729</v>
      </c>
      <c r="E393" s="12"/>
      <c r="F393" s="13">
        <v>4</v>
      </c>
      <c r="G393" s="71" t="s">
        <v>16</v>
      </c>
      <c r="H393" s="9" t="s">
        <v>96</v>
      </c>
      <c r="I393" s="24" t="s">
        <v>571</v>
      </c>
      <c r="J393" s="82" t="s">
        <v>705</v>
      </c>
      <c r="K393" s="18" t="s">
        <v>1727</v>
      </c>
      <c r="L393" s="25" t="s">
        <v>1730</v>
      </c>
      <c r="M393" s="25"/>
      <c r="N393" s="3" t="s">
        <v>172</v>
      </c>
    </row>
    <row r="394" spans="1:18" ht="227.25" customHeight="1">
      <c r="A394" s="13"/>
      <c r="B394" s="10" t="s">
        <v>3227</v>
      </c>
      <c r="C394" s="10" t="s">
        <v>3228</v>
      </c>
      <c r="D394" s="11" t="s">
        <v>3317</v>
      </c>
      <c r="E394" s="13"/>
      <c r="F394" s="13"/>
      <c r="G394" s="71"/>
      <c r="H394" s="9" t="s">
        <v>420</v>
      </c>
      <c r="I394" s="10"/>
      <c r="J394" s="9" t="s">
        <v>706</v>
      </c>
      <c r="K394" s="160" t="s">
        <v>3280</v>
      </c>
      <c r="L394" s="161" t="s">
        <v>3319</v>
      </c>
      <c r="M394" s="161" t="s">
        <v>3319</v>
      </c>
      <c r="N394" s="39" t="s">
        <v>3318</v>
      </c>
      <c r="O394" s="357" t="s">
        <v>3229</v>
      </c>
      <c r="R394" s="3" t="s">
        <v>3159</v>
      </c>
    </row>
    <row r="395" spans="1:18" ht="409.5">
      <c r="A395" s="13"/>
      <c r="B395" s="235" t="s">
        <v>1420</v>
      </c>
      <c r="C395" s="235" t="s">
        <v>1562</v>
      </c>
      <c r="D395" s="235" t="s">
        <v>1059</v>
      </c>
      <c r="E395" s="234"/>
      <c r="F395" s="234">
        <v>3</v>
      </c>
      <c r="G395" s="252" t="s">
        <v>16</v>
      </c>
      <c r="H395" s="237" t="s">
        <v>96</v>
      </c>
      <c r="I395" s="60" t="s">
        <v>19</v>
      </c>
      <c r="J395" s="237" t="s">
        <v>707</v>
      </c>
      <c r="K395" s="319" t="s">
        <v>1780</v>
      </c>
      <c r="L395" s="320" t="s">
        <v>1731</v>
      </c>
      <c r="M395" s="320"/>
      <c r="N395" s="2">
        <v>32785</v>
      </c>
      <c r="P395" s="2">
        <v>32785</v>
      </c>
      <c r="R395" s="162" t="s">
        <v>2355</v>
      </c>
    </row>
    <row r="396" spans="1:18" ht="228.75" customHeight="1">
      <c r="A396" s="13"/>
      <c r="B396" s="11" t="s">
        <v>1309</v>
      </c>
      <c r="C396" s="11" t="s">
        <v>708</v>
      </c>
      <c r="D396" s="11" t="s">
        <v>1100</v>
      </c>
      <c r="E396" s="13"/>
      <c r="F396" s="13">
        <v>3</v>
      </c>
      <c r="G396" s="71" t="s">
        <v>16</v>
      </c>
      <c r="H396" s="9" t="s">
        <v>96</v>
      </c>
      <c r="I396" s="24" t="s">
        <v>1930</v>
      </c>
      <c r="J396" s="9" t="s">
        <v>709</v>
      </c>
      <c r="K396" s="160" t="s">
        <v>1925</v>
      </c>
      <c r="L396" s="20" t="s">
        <v>913</v>
      </c>
      <c r="M396" s="20" t="s">
        <v>1785</v>
      </c>
      <c r="N396" s="2">
        <v>32785</v>
      </c>
      <c r="P396" s="2">
        <v>32785</v>
      </c>
      <c r="R396" s="162" t="s">
        <v>2429</v>
      </c>
    </row>
    <row r="397" spans="1:18" ht="409.5">
      <c r="A397" s="13"/>
      <c r="B397" s="11" t="s">
        <v>3418</v>
      </c>
      <c r="C397" s="11" t="s">
        <v>3419</v>
      </c>
      <c r="D397" s="372" t="s">
        <v>3420</v>
      </c>
      <c r="E397" s="13">
        <v>6</v>
      </c>
      <c r="F397" s="13"/>
      <c r="G397" s="71"/>
      <c r="H397" s="9"/>
      <c r="I397" s="24" t="s">
        <v>17</v>
      </c>
      <c r="J397" s="9"/>
      <c r="K397" s="76" t="s">
        <v>1885</v>
      </c>
      <c r="L397" s="162"/>
      <c r="M397" s="77" t="s">
        <v>3374</v>
      </c>
      <c r="N397" s="39" t="s">
        <v>3423</v>
      </c>
    </row>
    <row r="398" spans="1:18" ht="317.25" customHeight="1">
      <c r="A398" s="13"/>
      <c r="B398" s="107" t="s">
        <v>3407</v>
      </c>
      <c r="C398" s="107" t="s">
        <v>3408</v>
      </c>
      <c r="D398" s="136" t="s">
        <v>3409</v>
      </c>
      <c r="E398" s="163">
        <v>3</v>
      </c>
      <c r="F398" s="163">
        <v>2</v>
      </c>
      <c r="G398" s="71" t="s">
        <v>16</v>
      </c>
      <c r="H398" s="9" t="s">
        <v>78</v>
      </c>
      <c r="I398" s="10" t="s">
        <v>19</v>
      </c>
      <c r="J398" s="143">
        <v>6503769190</v>
      </c>
      <c r="K398" s="76" t="s">
        <v>3402</v>
      </c>
      <c r="L398" s="77"/>
      <c r="M398" s="77" t="s">
        <v>3374</v>
      </c>
      <c r="N398" s="39" t="s">
        <v>3410</v>
      </c>
      <c r="O398" s="99"/>
      <c r="R398" s="163">
        <v>3</v>
      </c>
    </row>
    <row r="399" spans="1:18" ht="291.75" customHeight="1">
      <c r="A399" s="13"/>
      <c r="B399" s="62" t="s">
        <v>1310</v>
      </c>
      <c r="C399" s="62" t="s">
        <v>711</v>
      </c>
      <c r="D399" s="31" t="s">
        <v>2951</v>
      </c>
      <c r="E399" s="9">
        <v>3</v>
      </c>
      <c r="F399" s="9" t="s">
        <v>1692</v>
      </c>
      <c r="G399" s="9" t="s">
        <v>16</v>
      </c>
      <c r="H399" s="9" t="s">
        <v>18</v>
      </c>
      <c r="I399" s="9" t="s">
        <v>19</v>
      </c>
      <c r="J399" s="146">
        <v>6503628073</v>
      </c>
      <c r="K399" s="119">
        <v>43273</v>
      </c>
      <c r="L399" s="45" t="s">
        <v>1804</v>
      </c>
      <c r="M399" s="20"/>
      <c r="N399" s="2">
        <v>13569</v>
      </c>
      <c r="P399" s="2">
        <v>32192</v>
      </c>
      <c r="R399" s="3" t="s">
        <v>1993</v>
      </c>
    </row>
    <row r="400" spans="1:18" ht="291.75" customHeight="1">
      <c r="A400" s="13"/>
      <c r="B400" s="62" t="s">
        <v>1310</v>
      </c>
      <c r="C400" s="62" t="s">
        <v>907</v>
      </c>
      <c r="D400" s="31" t="s">
        <v>2952</v>
      </c>
      <c r="E400" s="9"/>
      <c r="F400" s="9">
        <v>3</v>
      </c>
      <c r="G400" s="9" t="s">
        <v>16</v>
      </c>
      <c r="H400" s="9" t="s">
        <v>18</v>
      </c>
      <c r="I400" s="9" t="s">
        <v>19</v>
      </c>
      <c r="J400" s="146">
        <v>6503628073</v>
      </c>
      <c r="K400" s="119">
        <v>43273</v>
      </c>
      <c r="L400" s="45" t="s">
        <v>1804</v>
      </c>
      <c r="M400" s="20"/>
      <c r="N400" s="39" t="s">
        <v>1007</v>
      </c>
      <c r="P400" s="2">
        <v>13494</v>
      </c>
      <c r="R400" s="3" t="s">
        <v>1994</v>
      </c>
    </row>
    <row r="401" spans="1:18" ht="291.75" customHeight="1">
      <c r="A401" s="13"/>
      <c r="B401" s="164" t="s">
        <v>712</v>
      </c>
      <c r="C401" s="164" t="s">
        <v>713</v>
      </c>
      <c r="D401" s="31" t="s">
        <v>714</v>
      </c>
      <c r="E401" s="9"/>
      <c r="F401" s="9">
        <v>2</v>
      </c>
      <c r="G401" s="28" t="s">
        <v>612</v>
      </c>
      <c r="H401" s="9" t="s">
        <v>96</v>
      </c>
      <c r="I401" s="75" t="s">
        <v>1806</v>
      </c>
      <c r="J401" s="146">
        <v>788247286</v>
      </c>
      <c r="K401" s="122" t="s">
        <v>1726</v>
      </c>
      <c r="L401" s="120" t="s">
        <v>1676</v>
      </c>
      <c r="M401" s="120"/>
      <c r="N401" s="2" t="s">
        <v>423</v>
      </c>
      <c r="O401" s="2" t="s">
        <v>423</v>
      </c>
      <c r="P401" s="2" t="s">
        <v>423</v>
      </c>
      <c r="Q401" s="2" t="s">
        <v>423</v>
      </c>
      <c r="R401" s="162" t="s">
        <v>2394</v>
      </c>
    </row>
    <row r="402" spans="1:18" ht="409.5">
      <c r="A402" s="13"/>
      <c r="B402" s="103" t="s">
        <v>1311</v>
      </c>
      <c r="C402" s="165" t="s">
        <v>715</v>
      </c>
      <c r="D402" s="11" t="s">
        <v>716</v>
      </c>
      <c r="E402" s="166"/>
      <c r="F402" s="166"/>
      <c r="G402" s="71"/>
      <c r="H402" s="9"/>
      <c r="I402" s="9" t="s">
        <v>571</v>
      </c>
      <c r="J402" s="9"/>
      <c r="K402" s="14" t="s">
        <v>717</v>
      </c>
      <c r="N402" s="2" t="s">
        <v>59</v>
      </c>
    </row>
    <row r="403" spans="1:18" ht="309" customHeight="1">
      <c r="A403" s="13"/>
      <c r="B403" s="11" t="s">
        <v>3256</v>
      </c>
      <c r="C403" s="10" t="s">
        <v>1841</v>
      </c>
      <c r="D403" s="11" t="s">
        <v>3413</v>
      </c>
      <c r="E403" s="105"/>
      <c r="F403" s="105"/>
      <c r="G403" s="71" t="s">
        <v>16</v>
      </c>
      <c r="H403" s="167" t="s">
        <v>571</v>
      </c>
      <c r="I403" s="10" t="s">
        <v>19</v>
      </c>
      <c r="J403" s="9" t="s">
        <v>718</v>
      </c>
      <c r="K403" s="53" t="s">
        <v>1842</v>
      </c>
      <c r="L403" s="226" t="s">
        <v>1843</v>
      </c>
      <c r="M403" s="54"/>
    </row>
    <row r="404" spans="1:18" ht="309" customHeight="1">
      <c r="A404" s="13"/>
      <c r="B404" s="11" t="s">
        <v>3256</v>
      </c>
      <c r="C404" s="10" t="s">
        <v>1840</v>
      </c>
      <c r="D404" s="11" t="s">
        <v>3413</v>
      </c>
      <c r="E404" s="105"/>
      <c r="F404" s="105"/>
      <c r="G404" s="71" t="s">
        <v>16</v>
      </c>
      <c r="H404" s="167" t="s">
        <v>571</v>
      </c>
      <c r="I404" s="10" t="s">
        <v>19</v>
      </c>
      <c r="J404" s="9" t="s">
        <v>718</v>
      </c>
      <c r="K404" s="53" t="s">
        <v>1842</v>
      </c>
      <c r="L404" s="226" t="s">
        <v>1843</v>
      </c>
      <c r="M404" s="54"/>
    </row>
    <row r="405" spans="1:18" ht="309" customHeight="1">
      <c r="A405" s="13"/>
      <c r="B405" s="11" t="s">
        <v>3256</v>
      </c>
      <c r="C405" s="10" t="s">
        <v>3412</v>
      </c>
      <c r="D405" s="11" t="s">
        <v>3413</v>
      </c>
      <c r="E405" s="105"/>
      <c r="F405" s="105"/>
      <c r="G405" s="71"/>
      <c r="H405" s="167"/>
      <c r="I405" s="10"/>
      <c r="J405" s="28"/>
      <c r="K405" s="53"/>
      <c r="L405" s="226"/>
      <c r="M405" s="54"/>
    </row>
    <row r="406" spans="1:18" ht="309" customHeight="1">
      <c r="A406" s="13"/>
      <c r="B406" s="11" t="s">
        <v>3256</v>
      </c>
      <c r="C406" s="10" t="s">
        <v>3414</v>
      </c>
      <c r="D406" s="11" t="s">
        <v>3413</v>
      </c>
      <c r="E406" s="105"/>
      <c r="F406" s="105"/>
      <c r="G406" s="71"/>
      <c r="H406" s="167"/>
      <c r="I406" s="10"/>
      <c r="J406" s="28"/>
      <c r="K406" s="53"/>
      <c r="L406" s="226"/>
      <c r="M406" s="54"/>
    </row>
    <row r="407" spans="1:18" ht="357" customHeight="1">
      <c r="A407" s="13"/>
      <c r="B407" s="11" t="s">
        <v>1810</v>
      </c>
      <c r="C407" s="11" t="s">
        <v>1526</v>
      </c>
      <c r="D407" s="31" t="s">
        <v>1550</v>
      </c>
      <c r="E407" s="37"/>
      <c r="F407" s="12"/>
      <c r="G407" s="9"/>
      <c r="H407" s="9"/>
      <c r="I407" s="9" t="s">
        <v>571</v>
      </c>
      <c r="J407" s="158" t="s">
        <v>719</v>
      </c>
      <c r="K407" s="50" t="s">
        <v>38</v>
      </c>
      <c r="L407" s="54"/>
      <c r="M407" s="54"/>
      <c r="N407" s="2">
        <v>32349</v>
      </c>
    </row>
    <row r="408" spans="1:18" ht="409.5">
      <c r="A408" s="13"/>
      <c r="B408" s="11" t="s">
        <v>1312</v>
      </c>
      <c r="C408" s="11" t="s">
        <v>983</v>
      </c>
      <c r="D408" s="31" t="s">
        <v>1054</v>
      </c>
      <c r="E408" s="37"/>
      <c r="F408" s="12"/>
      <c r="G408" s="28"/>
      <c r="H408" s="34" t="s">
        <v>96</v>
      </c>
      <c r="I408" s="156" t="s">
        <v>55</v>
      </c>
      <c r="J408" s="158"/>
      <c r="K408" s="76" t="s">
        <v>1770</v>
      </c>
      <c r="L408" s="168"/>
      <c r="M408" s="77" t="s">
        <v>1728</v>
      </c>
      <c r="R408" s="3" t="s">
        <v>3093</v>
      </c>
    </row>
    <row r="409" spans="1:18" ht="375">
      <c r="A409" s="26">
        <v>188</v>
      </c>
      <c r="B409" s="11" t="s">
        <v>1313</v>
      </c>
      <c r="C409" s="11" t="s">
        <v>720</v>
      </c>
      <c r="D409" s="31" t="s">
        <v>1590</v>
      </c>
      <c r="E409" s="12"/>
      <c r="F409" s="12">
        <v>1</v>
      </c>
      <c r="G409" s="37" t="s">
        <v>16</v>
      </c>
      <c r="H409" s="34" t="s">
        <v>96</v>
      </c>
      <c r="I409" s="156" t="s">
        <v>55</v>
      </c>
      <c r="J409" s="17" t="s">
        <v>721</v>
      </c>
      <c r="K409" s="18" t="s">
        <v>1862</v>
      </c>
      <c r="L409" s="56" t="s">
        <v>1520</v>
      </c>
      <c r="R409" s="169"/>
    </row>
    <row r="410" spans="1:18" ht="337.5">
      <c r="B410" s="103" t="s">
        <v>1013</v>
      </c>
      <c r="C410" s="103" t="s">
        <v>1014</v>
      </c>
      <c r="D410" s="103" t="s">
        <v>1015</v>
      </c>
      <c r="E410" s="166"/>
      <c r="F410" s="166">
        <v>4</v>
      </c>
      <c r="G410" s="163" t="s">
        <v>16</v>
      </c>
      <c r="H410" s="170" t="s">
        <v>96</v>
      </c>
      <c r="I410" s="171" t="s">
        <v>1016</v>
      </c>
      <c r="J410" s="166"/>
      <c r="K410" s="172" t="s">
        <v>1017</v>
      </c>
      <c r="L410" s="25"/>
      <c r="M410" s="25" t="s">
        <v>1006</v>
      </c>
      <c r="O410" s="3" t="s">
        <v>2131</v>
      </c>
    </row>
    <row r="411" spans="1:18" ht="131.25">
      <c r="B411" s="103" t="s">
        <v>1018</v>
      </c>
      <c r="C411" s="103" t="s">
        <v>1019</v>
      </c>
      <c r="D411" s="103" t="s">
        <v>1085</v>
      </c>
      <c r="E411" s="166"/>
      <c r="F411" s="166">
        <v>4</v>
      </c>
      <c r="G411" s="163" t="s">
        <v>16</v>
      </c>
      <c r="H411" s="170" t="s">
        <v>96</v>
      </c>
      <c r="I411" s="166" t="s">
        <v>945</v>
      </c>
      <c r="J411" s="166"/>
      <c r="K411" s="172" t="s">
        <v>1017</v>
      </c>
      <c r="L411" s="14"/>
      <c r="M411" s="18" t="s">
        <v>422</v>
      </c>
      <c r="R411" s="162" t="s">
        <v>2436</v>
      </c>
    </row>
    <row r="412" spans="1:18" ht="75">
      <c r="A412" s="13"/>
      <c r="B412" s="11" t="s">
        <v>1020</v>
      </c>
      <c r="C412" s="11" t="s">
        <v>1021</v>
      </c>
      <c r="D412" s="11" t="s">
        <v>1023</v>
      </c>
      <c r="E412" s="13"/>
      <c r="F412" s="13"/>
      <c r="G412" s="29" t="s">
        <v>16</v>
      </c>
      <c r="H412" s="9" t="s">
        <v>96</v>
      </c>
      <c r="I412" s="9" t="s">
        <v>1746</v>
      </c>
      <c r="J412" s="9"/>
      <c r="K412" s="18" t="s">
        <v>1017</v>
      </c>
      <c r="M412" s="25" t="s">
        <v>46</v>
      </c>
    </row>
    <row r="413" spans="1:18" ht="131.25">
      <c r="A413" s="26"/>
      <c r="B413" s="11" t="s">
        <v>1025</v>
      </c>
      <c r="C413" s="11" t="s">
        <v>1026</v>
      </c>
      <c r="D413" s="11" t="s">
        <v>1027</v>
      </c>
      <c r="E413" s="13"/>
      <c r="F413" s="13">
        <v>3</v>
      </c>
      <c r="G413" s="29" t="s">
        <v>16</v>
      </c>
      <c r="H413" s="9" t="s">
        <v>96</v>
      </c>
      <c r="I413" s="9" t="s">
        <v>1028</v>
      </c>
      <c r="J413" s="13"/>
      <c r="K413" s="18" t="s">
        <v>1017</v>
      </c>
      <c r="M413" s="25" t="s">
        <v>69</v>
      </c>
    </row>
    <row r="414" spans="1:18" ht="337.5">
      <c r="B414" s="11" t="s">
        <v>1030</v>
      </c>
      <c r="C414" s="11" t="s">
        <v>1031</v>
      </c>
      <c r="D414" s="11" t="s">
        <v>1084</v>
      </c>
      <c r="E414" s="13"/>
      <c r="F414" s="13"/>
      <c r="G414" s="29" t="s">
        <v>16</v>
      </c>
      <c r="H414" s="9" t="s">
        <v>96</v>
      </c>
      <c r="I414" s="9" t="s">
        <v>420</v>
      </c>
      <c r="J414" s="13"/>
      <c r="K414" s="18" t="s">
        <v>1866</v>
      </c>
      <c r="L414" s="87"/>
      <c r="M414" s="25" t="s">
        <v>1074</v>
      </c>
    </row>
    <row r="415" spans="1:18" ht="300">
      <c r="B415" s="11" t="s">
        <v>1033</v>
      </c>
      <c r="C415" s="11" t="s">
        <v>1031</v>
      </c>
      <c r="D415" s="11" t="s">
        <v>1032</v>
      </c>
      <c r="E415" s="13"/>
      <c r="F415" s="13"/>
      <c r="G415" s="29" t="s">
        <v>16</v>
      </c>
      <c r="H415" s="9" t="s">
        <v>96</v>
      </c>
      <c r="I415" s="9" t="s">
        <v>420</v>
      </c>
      <c r="J415" s="13"/>
      <c r="K415" s="18" t="s">
        <v>1862</v>
      </c>
      <c r="L415" s="25" t="s">
        <v>1074</v>
      </c>
      <c r="M415" s="25" t="s">
        <v>1074</v>
      </c>
    </row>
    <row r="416" spans="1:18" ht="409.5">
      <c r="B416" s="11" t="s">
        <v>1090</v>
      </c>
      <c r="C416" s="11" t="s">
        <v>1091</v>
      </c>
      <c r="D416" s="32" t="s">
        <v>2475</v>
      </c>
      <c r="E416" s="13"/>
      <c r="F416" s="13">
        <v>1</v>
      </c>
      <c r="G416" s="105"/>
      <c r="H416" s="174"/>
      <c r="I416" s="75" t="s">
        <v>1891</v>
      </c>
      <c r="J416" s="148"/>
      <c r="K416" s="172" t="s">
        <v>2468</v>
      </c>
      <c r="L416" s="25" t="s">
        <v>1887</v>
      </c>
      <c r="M416" s="25" t="s">
        <v>1887</v>
      </c>
      <c r="N416" s="2">
        <v>9676</v>
      </c>
      <c r="R416" s="3" t="s">
        <v>3265</v>
      </c>
    </row>
    <row r="417" spans="1:18" ht="337.5">
      <c r="B417" s="103" t="s">
        <v>2635</v>
      </c>
      <c r="C417" s="165" t="s">
        <v>2636</v>
      </c>
      <c r="D417" s="103" t="s">
        <v>2637</v>
      </c>
      <c r="E417" s="166"/>
      <c r="F417" s="166"/>
      <c r="G417" s="105" t="s">
        <v>16</v>
      </c>
      <c r="H417" s="174" t="s">
        <v>81</v>
      </c>
      <c r="I417" s="106" t="s">
        <v>1793</v>
      </c>
      <c r="J417" s="166"/>
      <c r="K417" s="172" t="s">
        <v>1950</v>
      </c>
      <c r="L417" s="25" t="s">
        <v>1864</v>
      </c>
      <c r="M417" s="25" t="s">
        <v>305</v>
      </c>
      <c r="R417" s="3" t="s">
        <v>3367</v>
      </c>
    </row>
    <row r="418" spans="1:18" ht="206.25">
      <c r="A418" s="13"/>
      <c r="B418" s="11" t="s">
        <v>1102</v>
      </c>
      <c r="C418" s="11" t="s">
        <v>1103</v>
      </c>
      <c r="D418" s="11" t="s">
        <v>1104</v>
      </c>
      <c r="E418" s="13"/>
      <c r="F418" s="13"/>
      <c r="G418" s="105" t="s">
        <v>16</v>
      </c>
      <c r="H418" s="174" t="s">
        <v>81</v>
      </c>
      <c r="I418" s="106" t="s">
        <v>1793</v>
      </c>
      <c r="J418" s="13"/>
      <c r="K418" s="18" t="s">
        <v>1112</v>
      </c>
      <c r="L418" s="25" t="s">
        <v>1095</v>
      </c>
      <c r="M418" s="25"/>
      <c r="R418" s="162" t="s">
        <v>2434</v>
      </c>
    </row>
    <row r="419" spans="1:18" ht="409.5">
      <c r="A419" s="13"/>
      <c r="B419" s="11" t="s">
        <v>1114</v>
      </c>
      <c r="C419" s="10" t="s">
        <v>2563</v>
      </c>
      <c r="D419" s="32" t="s">
        <v>2564</v>
      </c>
      <c r="E419" s="13"/>
      <c r="F419" s="13"/>
      <c r="G419" s="52" t="s">
        <v>16</v>
      </c>
      <c r="H419" s="9" t="s">
        <v>96</v>
      </c>
      <c r="I419" s="75" t="s">
        <v>571</v>
      </c>
      <c r="J419" s="13"/>
      <c r="K419" s="18" t="s">
        <v>2557</v>
      </c>
      <c r="L419" s="25" t="s">
        <v>2565</v>
      </c>
      <c r="M419" s="25" t="s">
        <v>2565</v>
      </c>
    </row>
    <row r="420" spans="1:18" ht="409.5">
      <c r="A420" s="166"/>
      <c r="B420" s="165" t="s">
        <v>2377</v>
      </c>
      <c r="C420" s="165" t="s">
        <v>1122</v>
      </c>
      <c r="D420" s="103" t="s">
        <v>1123</v>
      </c>
      <c r="E420" s="166"/>
      <c r="F420" s="166"/>
      <c r="G420" s="52"/>
      <c r="H420" s="9"/>
      <c r="I420" s="75" t="s">
        <v>571</v>
      </c>
      <c r="J420" s="166"/>
      <c r="K420" s="125" t="s">
        <v>2378</v>
      </c>
      <c r="L420" s="125" t="s">
        <v>2379</v>
      </c>
      <c r="M420" s="125" t="s">
        <v>2379</v>
      </c>
    </row>
    <row r="421" spans="1:18" ht="409.5">
      <c r="A421" s="13"/>
      <c r="B421" s="11" t="s">
        <v>2619</v>
      </c>
      <c r="C421" s="11" t="s">
        <v>2620</v>
      </c>
      <c r="D421" s="11" t="s">
        <v>2621</v>
      </c>
      <c r="E421" s="13"/>
      <c r="F421" s="13"/>
      <c r="G421" s="52" t="s">
        <v>16</v>
      </c>
      <c r="H421" s="9" t="s">
        <v>96</v>
      </c>
      <c r="I421" s="75" t="s">
        <v>571</v>
      </c>
      <c r="J421" s="13"/>
      <c r="K421" s="18" t="s">
        <v>2617</v>
      </c>
      <c r="L421" s="25" t="s">
        <v>2558</v>
      </c>
      <c r="M421" s="25" t="s">
        <v>80</v>
      </c>
      <c r="N421" s="2" t="s">
        <v>2622</v>
      </c>
      <c r="O421" s="2"/>
      <c r="P421" s="2"/>
      <c r="Q421" s="2"/>
    </row>
    <row r="422" spans="1:18" ht="281.25">
      <c r="A422" s="26"/>
      <c r="B422" s="10" t="s">
        <v>1404</v>
      </c>
      <c r="C422" s="10" t="s">
        <v>2287</v>
      </c>
      <c r="D422" s="10" t="s">
        <v>2288</v>
      </c>
      <c r="E422" s="143"/>
      <c r="F422" s="143">
        <v>3</v>
      </c>
      <c r="G422" s="176" t="s">
        <v>16</v>
      </c>
      <c r="H422" s="10" t="s">
        <v>81</v>
      </c>
      <c r="I422" s="177" t="s">
        <v>2286</v>
      </c>
      <c r="J422" s="10"/>
      <c r="K422" s="122" t="s">
        <v>1770</v>
      </c>
      <c r="L422" s="25" t="s">
        <v>1731</v>
      </c>
      <c r="M422" s="25" t="s">
        <v>1731</v>
      </c>
      <c r="P422" s="3">
        <v>13494</v>
      </c>
      <c r="R422" s="143" t="s">
        <v>3146</v>
      </c>
    </row>
    <row r="423" spans="1:18" ht="375">
      <c r="B423" s="165" t="s">
        <v>1409</v>
      </c>
      <c r="C423" s="165" t="s">
        <v>1410</v>
      </c>
      <c r="D423" s="165" t="s">
        <v>1411</v>
      </c>
      <c r="E423" s="178"/>
      <c r="F423" s="178"/>
      <c r="G423" s="179" t="s">
        <v>16</v>
      </c>
      <c r="H423" s="165" t="s">
        <v>81</v>
      </c>
      <c r="I423" s="171" t="s">
        <v>571</v>
      </c>
      <c r="J423" s="178"/>
      <c r="K423" s="180" t="s">
        <v>1408</v>
      </c>
      <c r="L423" s="122" t="s">
        <v>105</v>
      </c>
      <c r="M423" s="25" t="s">
        <v>868</v>
      </c>
    </row>
    <row r="424" spans="1:18" ht="409.5">
      <c r="B424" s="11" t="s">
        <v>2161</v>
      </c>
      <c r="C424" s="10" t="s">
        <v>2448</v>
      </c>
      <c r="D424" s="165" t="s">
        <v>2361</v>
      </c>
      <c r="E424" s="178"/>
      <c r="F424" s="9" t="s">
        <v>15</v>
      </c>
      <c r="G424" s="179"/>
      <c r="H424" s="165"/>
      <c r="I424" s="171" t="s">
        <v>87</v>
      </c>
      <c r="J424" s="178"/>
      <c r="K424" s="180"/>
      <c r="L424" s="120" t="s">
        <v>3371</v>
      </c>
      <c r="M424" s="25"/>
      <c r="N424" s="357" t="s">
        <v>3091</v>
      </c>
      <c r="O424" s="357" t="s">
        <v>3091</v>
      </c>
      <c r="P424" s="357" t="s">
        <v>3091</v>
      </c>
      <c r="Q424" s="357" t="s">
        <v>3091</v>
      </c>
      <c r="R424" s="178" t="s">
        <v>3434</v>
      </c>
    </row>
    <row r="425" spans="1:18" ht="409.5">
      <c r="A425" s="13"/>
      <c r="B425" s="10" t="s">
        <v>1430</v>
      </c>
      <c r="C425" s="10" t="s">
        <v>1503</v>
      </c>
      <c r="D425" s="11" t="s">
        <v>1609</v>
      </c>
      <c r="E425" s="13"/>
      <c r="F425" s="13"/>
      <c r="G425" s="179" t="s">
        <v>16</v>
      </c>
      <c r="H425" s="165" t="s">
        <v>81</v>
      </c>
      <c r="I425" s="13" t="s">
        <v>55</v>
      </c>
      <c r="J425" s="13"/>
      <c r="K425" s="14">
        <v>45575</v>
      </c>
      <c r="L425" s="25" t="s">
        <v>1006</v>
      </c>
      <c r="R425" s="162" t="s">
        <v>2263</v>
      </c>
    </row>
    <row r="426" spans="1:18" ht="409.5">
      <c r="B426" s="11" t="s">
        <v>1454</v>
      </c>
      <c r="C426" s="11" t="s">
        <v>2708</v>
      </c>
      <c r="D426" s="11" t="s">
        <v>2709</v>
      </c>
      <c r="E426" s="166">
        <v>4</v>
      </c>
      <c r="F426" s="166">
        <v>4</v>
      </c>
      <c r="G426" s="179" t="s">
        <v>16</v>
      </c>
      <c r="H426" s="165" t="s">
        <v>81</v>
      </c>
      <c r="I426" s="171" t="s">
        <v>1455</v>
      </c>
      <c r="J426" s="166"/>
      <c r="K426" s="209">
        <v>45971</v>
      </c>
      <c r="L426" s="344" t="s">
        <v>3463</v>
      </c>
      <c r="M426" s="344" t="s">
        <v>1717</v>
      </c>
      <c r="O426" s="2"/>
      <c r="P426" s="2"/>
      <c r="Q426" s="2" t="s">
        <v>1706</v>
      </c>
    </row>
    <row r="427" spans="1:18" ht="409.5">
      <c r="A427" s="166"/>
      <c r="B427" s="103" t="s">
        <v>1458</v>
      </c>
      <c r="C427" s="103" t="s">
        <v>1459</v>
      </c>
      <c r="D427" s="103" t="s">
        <v>1460</v>
      </c>
      <c r="E427" s="166"/>
      <c r="F427" s="166">
        <v>3</v>
      </c>
      <c r="G427" s="179" t="s">
        <v>16</v>
      </c>
      <c r="H427" s="165" t="s">
        <v>81</v>
      </c>
      <c r="I427" s="171" t="s">
        <v>1624</v>
      </c>
      <c r="J427" s="166"/>
      <c r="K427" s="172" t="s">
        <v>1448</v>
      </c>
      <c r="L427" s="25" t="s">
        <v>889</v>
      </c>
      <c r="M427" s="25"/>
      <c r="R427" s="3" t="s">
        <v>1633</v>
      </c>
    </row>
    <row r="428" spans="1:18" ht="93.75">
      <c r="A428" s="13"/>
      <c r="B428" s="11" t="s">
        <v>1461</v>
      </c>
      <c r="C428" s="11" t="s">
        <v>1456</v>
      </c>
      <c r="D428" s="11" t="s">
        <v>1462</v>
      </c>
      <c r="E428" s="13"/>
      <c r="F428" s="13">
        <v>3</v>
      </c>
      <c r="G428" s="176" t="s">
        <v>16</v>
      </c>
      <c r="H428" s="10" t="s">
        <v>96</v>
      </c>
      <c r="I428" s="13" t="s">
        <v>945</v>
      </c>
      <c r="J428" s="13"/>
      <c r="K428" s="18" t="s">
        <v>1448</v>
      </c>
      <c r="L428" s="18" t="s">
        <v>924</v>
      </c>
      <c r="M428" s="18"/>
      <c r="P428" s="3">
        <v>32714</v>
      </c>
      <c r="R428" s="3" t="s">
        <v>1743</v>
      </c>
    </row>
    <row r="429" spans="1:18" s="131" customFormat="1" ht="318.75">
      <c r="A429" s="234"/>
      <c r="B429" s="235" t="s">
        <v>1516</v>
      </c>
      <c r="C429" s="235" t="s">
        <v>1517</v>
      </c>
      <c r="D429" s="235" t="s">
        <v>1518</v>
      </c>
      <c r="E429" s="234"/>
      <c r="F429" s="234">
        <v>3</v>
      </c>
      <c r="G429" s="265" t="s">
        <v>16</v>
      </c>
      <c r="H429" s="60" t="s">
        <v>96</v>
      </c>
      <c r="I429" s="234" t="s">
        <v>945</v>
      </c>
      <c r="J429" s="234"/>
      <c r="K429" s="242" t="s">
        <v>1519</v>
      </c>
      <c r="L429" s="242" t="s">
        <v>924</v>
      </c>
      <c r="M429" s="242"/>
      <c r="N429" s="255"/>
      <c r="P429" s="255">
        <v>32192</v>
      </c>
      <c r="R429" s="131" t="s">
        <v>2075</v>
      </c>
    </row>
    <row r="430" spans="1:18" ht="318.75">
      <c r="B430" s="11" t="s">
        <v>1922</v>
      </c>
      <c r="C430" s="11" t="s">
        <v>3326</v>
      </c>
      <c r="D430" s="11" t="s">
        <v>2092</v>
      </c>
      <c r="E430" s="13"/>
      <c r="F430" s="13"/>
      <c r="G430" s="176" t="s">
        <v>16</v>
      </c>
      <c r="H430" s="10" t="s">
        <v>96</v>
      </c>
      <c r="I430" s="106" t="s">
        <v>571</v>
      </c>
      <c r="J430" s="13"/>
      <c r="K430" s="18" t="s">
        <v>1924</v>
      </c>
      <c r="L430" s="18" t="s">
        <v>1885</v>
      </c>
      <c r="M430" s="18" t="s">
        <v>1885</v>
      </c>
      <c r="P430" s="2"/>
      <c r="R430" s="3" t="s">
        <v>3430</v>
      </c>
    </row>
    <row r="431" spans="1:18" s="131" customFormat="1" ht="409.5" customHeight="1">
      <c r="B431" s="235" t="s">
        <v>1527</v>
      </c>
      <c r="C431" s="235" t="s">
        <v>1528</v>
      </c>
      <c r="D431" s="235" t="s">
        <v>1529</v>
      </c>
      <c r="E431" s="234"/>
      <c r="F431" s="234"/>
      <c r="G431" s="265" t="s">
        <v>16</v>
      </c>
      <c r="H431" s="60" t="s">
        <v>96</v>
      </c>
      <c r="I431" s="237" t="s">
        <v>571</v>
      </c>
      <c r="J431" s="234"/>
      <c r="K431" s="242" t="s">
        <v>1905</v>
      </c>
      <c r="L431" s="242" t="s">
        <v>1530</v>
      </c>
      <c r="M431" s="242" t="s">
        <v>1530</v>
      </c>
      <c r="N431" s="255"/>
      <c r="R431" s="131" t="s">
        <v>2108</v>
      </c>
    </row>
    <row r="432" spans="1:18" ht="206.25">
      <c r="B432" s="11" t="s">
        <v>1897</v>
      </c>
      <c r="C432" s="11" t="s">
        <v>2541</v>
      </c>
      <c r="D432" s="11" t="s">
        <v>2542</v>
      </c>
      <c r="E432" s="13">
        <v>4</v>
      </c>
      <c r="F432" s="9">
        <v>3</v>
      </c>
      <c r="G432" s="9" t="s">
        <v>16</v>
      </c>
      <c r="H432" s="9" t="s">
        <v>96</v>
      </c>
      <c r="I432" s="75" t="s">
        <v>1678</v>
      </c>
      <c r="J432" s="13"/>
      <c r="K432" s="18" t="s">
        <v>2543</v>
      </c>
      <c r="L432" s="18" t="s">
        <v>1885</v>
      </c>
      <c r="M432" s="18" t="s">
        <v>1885</v>
      </c>
      <c r="P432" s="3">
        <v>32785</v>
      </c>
      <c r="R432" s="99" t="s">
        <v>1977</v>
      </c>
    </row>
    <row r="433" spans="1:18" ht="131.25">
      <c r="B433" s="11" t="s">
        <v>1538</v>
      </c>
      <c r="C433" s="11" t="s">
        <v>1539</v>
      </c>
      <c r="D433" s="10" t="s">
        <v>1541</v>
      </c>
      <c r="E433" s="13"/>
      <c r="F433" s="9">
        <v>3</v>
      </c>
      <c r="G433" s="9" t="s">
        <v>16</v>
      </c>
      <c r="H433" s="9" t="s">
        <v>96</v>
      </c>
      <c r="I433" s="75" t="s">
        <v>985</v>
      </c>
      <c r="J433" s="10"/>
      <c r="K433" s="18" t="s">
        <v>1532</v>
      </c>
      <c r="L433" s="14"/>
      <c r="M433" s="18" t="s">
        <v>924</v>
      </c>
      <c r="R433" s="162" t="s">
        <v>485</v>
      </c>
    </row>
    <row r="434" spans="1:18" ht="409.5">
      <c r="B434" s="207" t="s">
        <v>1563</v>
      </c>
      <c r="C434" s="11" t="s">
        <v>2472</v>
      </c>
      <c r="D434" s="11" t="s">
        <v>1861</v>
      </c>
      <c r="E434" s="90"/>
      <c r="F434" s="90"/>
      <c r="G434" s="11" t="s">
        <v>16</v>
      </c>
      <c r="H434" s="11" t="s">
        <v>96</v>
      </c>
      <c r="I434" s="90" t="s">
        <v>571</v>
      </c>
      <c r="J434" s="90"/>
      <c r="K434" s="18" t="s">
        <v>1866</v>
      </c>
      <c r="L434" s="25" t="s">
        <v>1689</v>
      </c>
      <c r="M434" s="25" t="s">
        <v>1871</v>
      </c>
    </row>
    <row r="435" spans="1:18" ht="409.5">
      <c r="B435" s="207" t="s">
        <v>1563</v>
      </c>
      <c r="C435" s="11" t="s">
        <v>2590</v>
      </c>
      <c r="D435" s="11" t="s">
        <v>1861</v>
      </c>
      <c r="E435" s="211"/>
      <c r="F435" s="211"/>
      <c r="G435" s="103"/>
      <c r="H435" s="103"/>
      <c r="I435" s="90" t="s">
        <v>571</v>
      </c>
      <c r="J435" s="211"/>
      <c r="K435" s="172"/>
      <c r="L435" s="25" t="s">
        <v>1689</v>
      </c>
      <c r="M435" s="25"/>
    </row>
    <row r="436" spans="1:18" s="131" customFormat="1" ht="150">
      <c r="B436" s="261" t="s">
        <v>1568</v>
      </c>
      <c r="C436" s="261" t="s">
        <v>1569</v>
      </c>
      <c r="D436" s="261" t="s">
        <v>1570</v>
      </c>
      <c r="E436" s="262"/>
      <c r="F436" s="262">
        <v>2</v>
      </c>
      <c r="G436" s="262" t="s">
        <v>311</v>
      </c>
      <c r="H436" s="262" t="s">
        <v>96</v>
      </c>
      <c r="I436" s="263" t="s">
        <v>1572</v>
      </c>
      <c r="J436" s="262"/>
      <c r="K436" s="264" t="s">
        <v>1571</v>
      </c>
      <c r="L436" s="254" t="s">
        <v>1534</v>
      </c>
      <c r="M436" s="254"/>
      <c r="N436" s="255"/>
      <c r="O436" s="131">
        <v>8853</v>
      </c>
      <c r="R436" s="131" t="s">
        <v>2074</v>
      </c>
    </row>
    <row r="437" spans="1:18" ht="375">
      <c r="B437" s="103" t="s">
        <v>1821</v>
      </c>
      <c r="C437" s="103" t="s">
        <v>1606</v>
      </c>
      <c r="D437" s="103" t="s">
        <v>1608</v>
      </c>
      <c r="E437" s="166"/>
      <c r="F437" s="166">
        <v>3</v>
      </c>
      <c r="G437" s="211" t="s">
        <v>311</v>
      </c>
      <c r="H437" s="211" t="s">
        <v>96</v>
      </c>
      <c r="I437" s="171" t="s">
        <v>1607</v>
      </c>
      <c r="J437" s="166"/>
      <c r="K437" s="172" t="s">
        <v>1884</v>
      </c>
      <c r="L437" s="210"/>
      <c r="M437" s="210" t="s">
        <v>1543</v>
      </c>
      <c r="N437" s="210"/>
      <c r="P437" s="2">
        <v>30896</v>
      </c>
      <c r="R437" s="166" t="s">
        <v>2931</v>
      </c>
    </row>
    <row r="438" spans="1:18" ht="75">
      <c r="A438" s="17"/>
      <c r="B438" s="10" t="s">
        <v>1621</v>
      </c>
      <c r="C438" s="10" t="s">
        <v>2975</v>
      </c>
      <c r="D438" s="10" t="s">
        <v>1622</v>
      </c>
      <c r="E438" s="17">
        <v>4</v>
      </c>
      <c r="F438" s="17">
        <v>2</v>
      </c>
      <c r="G438" s="17" t="s">
        <v>533</v>
      </c>
      <c r="H438" s="17" t="s">
        <v>1623</v>
      </c>
      <c r="I438" s="171" t="s">
        <v>1572</v>
      </c>
      <c r="J438" s="17"/>
      <c r="K438" s="122" t="s">
        <v>2956</v>
      </c>
      <c r="L438" s="18"/>
      <c r="M438" s="18" t="s">
        <v>2887</v>
      </c>
      <c r="O438" s="3">
        <v>9676</v>
      </c>
      <c r="R438" s="3" t="s">
        <v>3140</v>
      </c>
    </row>
    <row r="439" spans="1:18" ht="206.25">
      <c r="A439" s="13"/>
      <c r="B439" s="11" t="s">
        <v>1638</v>
      </c>
      <c r="C439" s="10" t="s">
        <v>1640</v>
      </c>
      <c r="D439" s="31" t="s">
        <v>1639</v>
      </c>
      <c r="E439" s="13"/>
      <c r="F439" s="13"/>
      <c r="G439" s="17" t="s">
        <v>533</v>
      </c>
      <c r="H439" s="17" t="s">
        <v>1623</v>
      </c>
      <c r="I439" s="106" t="s">
        <v>571</v>
      </c>
      <c r="J439" s="13"/>
      <c r="K439" s="18" t="s">
        <v>554</v>
      </c>
      <c r="L439" s="45" t="s">
        <v>1064</v>
      </c>
      <c r="M439" s="14"/>
    </row>
    <row r="440" spans="1:18" s="2" customFormat="1" ht="409.5">
      <c r="A440" s="17"/>
      <c r="B440" s="10" t="s">
        <v>1656</v>
      </c>
      <c r="C440" s="10" t="s">
        <v>1657</v>
      </c>
      <c r="D440" s="10" t="s">
        <v>1658</v>
      </c>
      <c r="E440" s="17"/>
      <c r="F440" s="17">
        <v>3</v>
      </c>
      <c r="G440" s="17" t="s">
        <v>533</v>
      </c>
      <c r="H440" s="17" t="s">
        <v>1805</v>
      </c>
      <c r="I440" s="24" t="s">
        <v>1660</v>
      </c>
      <c r="J440" s="17"/>
      <c r="K440" s="122" t="s">
        <v>1654</v>
      </c>
      <c r="L440" s="119"/>
      <c r="M440" s="122" t="s">
        <v>1659</v>
      </c>
    </row>
    <row r="441" spans="1:18" ht="206.25">
      <c r="A441" s="90"/>
      <c r="B441" s="11" t="s">
        <v>1945</v>
      </c>
      <c r="C441" s="11" t="s">
        <v>2259</v>
      </c>
      <c r="D441" s="11" t="s">
        <v>2260</v>
      </c>
      <c r="E441" s="90"/>
      <c r="F441" s="90"/>
      <c r="G441" s="17" t="s">
        <v>533</v>
      </c>
      <c r="H441" s="17" t="s">
        <v>1623</v>
      </c>
      <c r="I441" s="24" t="s">
        <v>571</v>
      </c>
      <c r="J441" s="90"/>
      <c r="K441" s="208" t="s">
        <v>2261</v>
      </c>
      <c r="L441" s="25"/>
      <c r="M441" s="25" t="s">
        <v>1634</v>
      </c>
      <c r="R441" s="99" t="s">
        <v>3051</v>
      </c>
    </row>
    <row r="442" spans="1:18" ht="409.5">
      <c r="A442" s="187"/>
      <c r="B442" s="261" t="s">
        <v>2182</v>
      </c>
      <c r="C442" s="235" t="s">
        <v>2183</v>
      </c>
      <c r="D442" s="235" t="s">
        <v>2187</v>
      </c>
      <c r="E442" s="244"/>
      <c r="F442" s="246"/>
      <c r="G442" s="246"/>
      <c r="H442" s="237"/>
      <c r="I442" s="253" t="s">
        <v>2186</v>
      </c>
      <c r="J442" s="253"/>
      <c r="K442" s="242"/>
      <c r="L442" s="318" t="s">
        <v>2185</v>
      </c>
      <c r="M442" s="254"/>
      <c r="R442" s="99" t="s">
        <v>2354</v>
      </c>
    </row>
    <row r="443" spans="1:18" ht="243.75">
      <c r="B443" s="165" t="s">
        <v>1669</v>
      </c>
      <c r="C443" s="165" t="s">
        <v>1671</v>
      </c>
      <c r="D443" s="103" t="s">
        <v>1670</v>
      </c>
      <c r="E443" s="178"/>
      <c r="F443" s="178">
        <v>3</v>
      </c>
      <c r="G443" s="178" t="s">
        <v>533</v>
      </c>
      <c r="H443" s="178" t="s">
        <v>1623</v>
      </c>
      <c r="I443" s="215" t="s">
        <v>1660</v>
      </c>
      <c r="J443" s="178"/>
      <c r="K443" s="180" t="s">
        <v>69</v>
      </c>
      <c r="L443" s="180" t="s">
        <v>1672</v>
      </c>
      <c r="M443" s="180"/>
      <c r="P443" s="3">
        <v>1844</v>
      </c>
      <c r="R443" s="162" t="s">
        <v>485</v>
      </c>
    </row>
    <row r="444" spans="1:18" ht="129" customHeight="1">
      <c r="A444" s="90"/>
      <c r="B444" s="11" t="s">
        <v>1677</v>
      </c>
      <c r="C444" s="11" t="s">
        <v>2089</v>
      </c>
      <c r="D444" s="11" t="s">
        <v>2262</v>
      </c>
      <c r="E444" s="90"/>
      <c r="F444" s="90">
        <v>4</v>
      </c>
      <c r="G444" s="90" t="s">
        <v>533</v>
      </c>
      <c r="H444" s="90" t="s">
        <v>1623</v>
      </c>
      <c r="I444" s="213" t="s">
        <v>1678</v>
      </c>
      <c r="J444" s="90"/>
      <c r="K444" s="208" t="s">
        <v>2261</v>
      </c>
      <c r="L444" s="208" t="s">
        <v>1613</v>
      </c>
      <c r="M444" s="208" t="s">
        <v>1613</v>
      </c>
      <c r="Q444" s="3">
        <v>9676</v>
      </c>
      <c r="R444" s="90" t="s">
        <v>3143</v>
      </c>
    </row>
    <row r="445" spans="1:18" ht="409.5">
      <c r="A445" s="17"/>
      <c r="B445" s="10" t="s">
        <v>1685</v>
      </c>
      <c r="C445" s="10" t="s">
        <v>1686</v>
      </c>
      <c r="D445" s="10" t="s">
        <v>2197</v>
      </c>
      <c r="E445" s="17"/>
      <c r="F445" s="17">
        <v>1</v>
      </c>
      <c r="G445" s="17" t="s">
        <v>533</v>
      </c>
      <c r="H445" s="17" t="s">
        <v>1623</v>
      </c>
      <c r="I445" s="177" t="s">
        <v>1660</v>
      </c>
      <c r="J445" s="17"/>
      <c r="K445" s="122" t="s">
        <v>1754</v>
      </c>
      <c r="L445" s="122"/>
      <c r="M445" s="122" t="s">
        <v>1701</v>
      </c>
      <c r="N445" s="2">
        <v>32714</v>
      </c>
      <c r="R445" s="162" t="s">
        <v>2831</v>
      </c>
    </row>
    <row r="446" spans="1:18" ht="150">
      <c r="A446" s="17"/>
      <c r="B446" s="10" t="s">
        <v>1690</v>
      </c>
      <c r="C446" s="10" t="s">
        <v>1691</v>
      </c>
      <c r="D446" s="10" t="s">
        <v>1779</v>
      </c>
      <c r="E446" s="17"/>
      <c r="F446" s="17">
        <v>4</v>
      </c>
      <c r="G446" s="17" t="s">
        <v>533</v>
      </c>
      <c r="H446" s="17" t="s">
        <v>1623</v>
      </c>
      <c r="I446" s="177" t="s">
        <v>1678</v>
      </c>
      <c r="J446" s="17"/>
      <c r="K446" s="122" t="s">
        <v>1687</v>
      </c>
      <c r="L446" s="122" t="s">
        <v>1613</v>
      </c>
      <c r="M446" s="122"/>
      <c r="Q446" s="2">
        <v>9676</v>
      </c>
      <c r="R446" s="17" t="s">
        <v>3158</v>
      </c>
    </row>
    <row r="447" spans="1:18" ht="168.75">
      <c r="B447" s="11" t="s">
        <v>1695</v>
      </c>
      <c r="C447" s="11" t="s">
        <v>1696</v>
      </c>
      <c r="D447" s="11" t="s">
        <v>1697</v>
      </c>
      <c r="E447" s="90"/>
      <c r="F447" s="90"/>
      <c r="G447" s="90" t="s">
        <v>533</v>
      </c>
      <c r="H447" s="90" t="s">
        <v>1623</v>
      </c>
      <c r="I447" s="216" t="s">
        <v>1698</v>
      </c>
      <c r="J447" s="90"/>
      <c r="K447" s="208" t="s">
        <v>1693</v>
      </c>
      <c r="L447" s="209"/>
      <c r="M447" s="208" t="s">
        <v>1637</v>
      </c>
    </row>
    <row r="448" spans="1:18" ht="356.25">
      <c r="B448" s="11" t="s">
        <v>1699</v>
      </c>
      <c r="C448" s="10" t="s">
        <v>1702</v>
      </c>
      <c r="D448" s="11" t="s">
        <v>1700</v>
      </c>
      <c r="E448" s="37"/>
      <c r="F448" s="37"/>
      <c r="G448" s="37" t="s">
        <v>16</v>
      </c>
      <c r="H448" s="222" t="s">
        <v>96</v>
      </c>
      <c r="I448" s="24" t="s">
        <v>19</v>
      </c>
      <c r="J448" s="218"/>
      <c r="K448" s="76" t="s">
        <v>1693</v>
      </c>
      <c r="L448" s="219" t="s">
        <v>1701</v>
      </c>
    </row>
    <row r="449" spans="1:18" ht="356.25">
      <c r="B449" s="103" t="s">
        <v>1699</v>
      </c>
      <c r="C449" s="165" t="s">
        <v>1703</v>
      </c>
      <c r="D449" s="103" t="s">
        <v>1700</v>
      </c>
      <c r="E449" s="163"/>
      <c r="F449" s="163"/>
      <c r="G449" s="163" t="s">
        <v>16</v>
      </c>
      <c r="H449" s="228" t="s">
        <v>96</v>
      </c>
      <c r="I449" s="215" t="s">
        <v>19</v>
      </c>
      <c r="J449" s="220"/>
      <c r="K449" s="221" t="s">
        <v>1693</v>
      </c>
      <c r="L449" s="219" t="s">
        <v>1701</v>
      </c>
    </row>
    <row r="450" spans="1:18" ht="409.5">
      <c r="A450" s="90"/>
      <c r="B450" s="11" t="s">
        <v>1710</v>
      </c>
      <c r="C450" s="11" t="s">
        <v>1711</v>
      </c>
      <c r="D450" s="11" t="s">
        <v>1712</v>
      </c>
      <c r="E450" s="90"/>
      <c r="F450" s="90">
        <v>3</v>
      </c>
      <c r="G450" s="37" t="s">
        <v>16</v>
      </c>
      <c r="H450" s="222" t="s">
        <v>96</v>
      </c>
      <c r="I450" s="9" t="s">
        <v>19</v>
      </c>
      <c r="J450" s="90"/>
      <c r="K450" s="208" t="s">
        <v>1708</v>
      </c>
      <c r="M450" s="25" t="s">
        <v>1713</v>
      </c>
    </row>
    <row r="451" spans="1:18" ht="409.5">
      <c r="A451" s="13"/>
      <c r="B451" s="11" t="s">
        <v>2450</v>
      </c>
      <c r="C451" s="11" t="s">
        <v>1732</v>
      </c>
      <c r="D451" s="11" t="s">
        <v>1733</v>
      </c>
      <c r="E451" s="13"/>
      <c r="F451" s="9" t="s">
        <v>15</v>
      </c>
      <c r="G451" s="37" t="s">
        <v>16</v>
      </c>
      <c r="H451" s="222" t="s">
        <v>96</v>
      </c>
      <c r="I451" s="9" t="s">
        <v>564</v>
      </c>
      <c r="J451" s="13"/>
      <c r="K451" s="18" t="s">
        <v>1838</v>
      </c>
      <c r="L451" s="25" t="s">
        <v>1784</v>
      </c>
      <c r="M451" s="25" t="s">
        <v>1785</v>
      </c>
      <c r="N451" s="39" t="s">
        <v>3123</v>
      </c>
      <c r="O451" s="39" t="s">
        <v>3123</v>
      </c>
      <c r="P451" s="39" t="s">
        <v>3123</v>
      </c>
      <c r="Q451" s="39" t="s">
        <v>3123</v>
      </c>
      <c r="R451" s="3" t="s">
        <v>3245</v>
      </c>
    </row>
    <row r="452" spans="1:18" ht="409.5">
      <c r="A452" s="13"/>
      <c r="B452" s="11" t="s">
        <v>1833</v>
      </c>
      <c r="C452" s="10" t="s">
        <v>1834</v>
      </c>
      <c r="D452" s="11" t="s">
        <v>1835</v>
      </c>
      <c r="E452" s="13"/>
      <c r="F452" s="13">
        <v>3</v>
      </c>
      <c r="G452" s="37" t="s">
        <v>16</v>
      </c>
      <c r="H452" s="222" t="s">
        <v>96</v>
      </c>
      <c r="I452" s="9" t="s">
        <v>19</v>
      </c>
      <c r="J452" s="13"/>
      <c r="K452" s="18" t="s">
        <v>1836</v>
      </c>
      <c r="L452" s="25" t="s">
        <v>1837</v>
      </c>
      <c r="M452" s="25"/>
      <c r="O452" s="2"/>
      <c r="P452" s="3">
        <v>32714</v>
      </c>
      <c r="Q452" s="2"/>
      <c r="R452" s="162" t="s">
        <v>2340</v>
      </c>
    </row>
    <row r="453" spans="1:18" ht="243.75">
      <c r="A453" s="13"/>
      <c r="B453" s="11" t="s">
        <v>2549</v>
      </c>
      <c r="C453" s="11" t="s">
        <v>2550</v>
      </c>
      <c r="D453" s="11" t="s">
        <v>2551</v>
      </c>
      <c r="E453" s="13">
        <v>7</v>
      </c>
      <c r="F453" s="13">
        <v>4</v>
      </c>
      <c r="G453" s="13"/>
      <c r="H453" s="13"/>
      <c r="I453" s="13" t="s">
        <v>2552</v>
      </c>
      <c r="J453" s="13"/>
      <c r="K453" s="18" t="s">
        <v>2553</v>
      </c>
      <c r="L453" s="25" t="s">
        <v>2554</v>
      </c>
      <c r="M453" s="25" t="s">
        <v>2554</v>
      </c>
      <c r="Q453" s="3">
        <v>32785</v>
      </c>
      <c r="R453" s="3" t="s">
        <v>2354</v>
      </c>
    </row>
    <row r="454" spans="1:18" ht="150">
      <c r="B454" s="10" t="s">
        <v>1739</v>
      </c>
      <c r="C454" s="308" t="s">
        <v>1740</v>
      </c>
      <c r="D454" s="308" t="s">
        <v>1741</v>
      </c>
      <c r="E454" s="309"/>
      <c r="F454" s="309">
        <v>4</v>
      </c>
      <c r="G454" s="309"/>
      <c r="H454" s="309"/>
      <c r="I454" s="310" t="s">
        <v>1742</v>
      </c>
      <c r="J454" s="309"/>
      <c r="K454" s="311" t="s">
        <v>1735</v>
      </c>
      <c r="L454" s="185"/>
      <c r="M454" s="227" t="s">
        <v>1006</v>
      </c>
      <c r="N454" s="312"/>
      <c r="O454" s="72"/>
      <c r="P454" s="72"/>
      <c r="Q454" s="72">
        <v>8853</v>
      </c>
      <c r="R454" s="313" t="s">
        <v>2342</v>
      </c>
    </row>
    <row r="455" spans="1:18" ht="112.5">
      <c r="B455" s="103" t="s">
        <v>2169</v>
      </c>
      <c r="C455" s="103" t="s">
        <v>527</v>
      </c>
      <c r="D455" s="225" t="s">
        <v>1777</v>
      </c>
      <c r="E455" s="166"/>
      <c r="F455" s="9" t="s">
        <v>15</v>
      </c>
      <c r="G455" s="166"/>
      <c r="H455" s="166"/>
      <c r="I455" s="166" t="s">
        <v>55</v>
      </c>
      <c r="J455" s="166"/>
      <c r="K455" s="175"/>
      <c r="L455" s="27"/>
      <c r="M455" s="27" t="s">
        <v>1011</v>
      </c>
      <c r="N455" s="2" t="s">
        <v>1778</v>
      </c>
      <c r="O455" s="2" t="s">
        <v>1778</v>
      </c>
      <c r="P455" s="2" t="s">
        <v>1778</v>
      </c>
      <c r="Q455" s="2" t="s">
        <v>1778</v>
      </c>
      <c r="R455" s="3" t="s">
        <v>2835</v>
      </c>
    </row>
    <row r="456" spans="1:18" ht="262.5">
      <c r="A456" s="13"/>
      <c r="B456" s="103" t="s">
        <v>1796</v>
      </c>
      <c r="C456" s="165" t="s">
        <v>1797</v>
      </c>
      <c r="D456" s="225" t="s">
        <v>1800</v>
      </c>
      <c r="E456" s="105"/>
      <c r="F456" s="105">
        <v>3</v>
      </c>
      <c r="G456" s="105" t="s">
        <v>16</v>
      </c>
      <c r="H456" s="170" t="s">
        <v>96</v>
      </c>
      <c r="I456" s="171" t="s">
        <v>1801</v>
      </c>
      <c r="J456" s="103"/>
      <c r="K456" s="180" t="s">
        <v>1799</v>
      </c>
      <c r="L456" s="180"/>
      <c r="M456" s="180" t="s">
        <v>1798</v>
      </c>
      <c r="R456" s="105">
        <v>4</v>
      </c>
    </row>
    <row r="457" spans="1:18" ht="262.5">
      <c r="B457" s="103" t="s">
        <v>1796</v>
      </c>
      <c r="C457" s="165" t="s">
        <v>2303</v>
      </c>
      <c r="D457" s="225" t="s">
        <v>2304</v>
      </c>
      <c r="E457" s="105"/>
      <c r="F457" s="105">
        <v>3</v>
      </c>
      <c r="G457" s="105"/>
      <c r="H457" s="170"/>
      <c r="I457" s="171" t="s">
        <v>2302</v>
      </c>
      <c r="J457" s="103"/>
      <c r="K457" s="180" t="s">
        <v>1766</v>
      </c>
      <c r="L457" s="25" t="s">
        <v>2305</v>
      </c>
      <c r="M457" s="25" t="s">
        <v>2305</v>
      </c>
      <c r="P457" s="3">
        <v>32785</v>
      </c>
      <c r="R457" s="3" t="s">
        <v>3127</v>
      </c>
    </row>
    <row r="458" spans="1:18" ht="393.75">
      <c r="B458" s="9" t="s">
        <v>2200</v>
      </c>
      <c r="C458" s="9" t="s">
        <v>2201</v>
      </c>
      <c r="D458" s="11" t="s">
        <v>2221</v>
      </c>
      <c r="E458" s="13"/>
      <c r="F458" s="13">
        <v>4</v>
      </c>
      <c r="G458" s="13"/>
      <c r="H458" s="13"/>
      <c r="I458" s="13" t="s">
        <v>2202</v>
      </c>
      <c r="J458" s="13"/>
      <c r="K458" s="18" t="s">
        <v>2203</v>
      </c>
      <c r="L458" s="18" t="s">
        <v>1701</v>
      </c>
      <c r="M458" s="18" t="s">
        <v>1701</v>
      </c>
      <c r="R458" s="162" t="s">
        <v>2662</v>
      </c>
    </row>
    <row r="459" spans="1:18" ht="131.25">
      <c r="B459" s="288" t="s">
        <v>2208</v>
      </c>
      <c r="C459" s="288" t="s">
        <v>2209</v>
      </c>
      <c r="D459" s="11" t="s">
        <v>3316</v>
      </c>
      <c r="E459" s="13"/>
      <c r="F459" s="13"/>
      <c r="G459" s="13"/>
      <c r="H459" s="13"/>
      <c r="I459" s="9" t="s">
        <v>2210</v>
      </c>
      <c r="J459" s="13"/>
      <c r="K459" s="18" t="s">
        <v>2220</v>
      </c>
      <c r="L459" s="18" t="s">
        <v>2214</v>
      </c>
      <c r="M459" s="14"/>
    </row>
    <row r="460" spans="1:18" ht="409.5">
      <c r="B460" s="9" t="s">
        <v>2232</v>
      </c>
      <c r="C460" s="9" t="s">
        <v>2233</v>
      </c>
      <c r="D460" s="11" t="s">
        <v>2398</v>
      </c>
      <c r="E460" s="13"/>
      <c r="F460" s="13">
        <v>4</v>
      </c>
      <c r="G460" s="13"/>
      <c r="H460" s="13"/>
      <c r="I460" s="177" t="s">
        <v>1678</v>
      </c>
      <c r="J460" s="13"/>
      <c r="K460" s="186" t="s">
        <v>2399</v>
      </c>
      <c r="L460" s="18" t="s">
        <v>2214</v>
      </c>
      <c r="M460" s="18" t="s">
        <v>2214</v>
      </c>
      <c r="Q460" s="2">
        <v>32714</v>
      </c>
      <c r="R460" s="13" t="s">
        <v>3264</v>
      </c>
    </row>
    <row r="461" spans="1:18" ht="409.5">
      <c r="B461" s="9" t="s">
        <v>2244</v>
      </c>
      <c r="C461" s="9" t="s">
        <v>2245</v>
      </c>
      <c r="D461" s="11" t="s">
        <v>2246</v>
      </c>
      <c r="E461" s="13"/>
      <c r="F461" s="13">
        <v>1</v>
      </c>
      <c r="G461" s="13"/>
      <c r="H461" s="13"/>
      <c r="I461" s="9" t="s">
        <v>2247</v>
      </c>
      <c r="J461" s="13"/>
      <c r="K461" s="18" t="s">
        <v>2248</v>
      </c>
      <c r="L461" s="18" t="s">
        <v>2249</v>
      </c>
      <c r="M461" s="14"/>
      <c r="R461" s="162" t="s">
        <v>2810</v>
      </c>
    </row>
    <row r="462" spans="1:18" ht="409.5">
      <c r="B462" s="9" t="s">
        <v>2252</v>
      </c>
      <c r="C462" s="9" t="s">
        <v>2250</v>
      </c>
      <c r="D462" s="9" t="s">
        <v>2251</v>
      </c>
      <c r="E462" s="9"/>
      <c r="F462" s="9"/>
      <c r="G462" s="9"/>
      <c r="H462" s="9"/>
      <c r="I462" s="9"/>
      <c r="J462" s="9"/>
      <c r="K462" s="186"/>
      <c r="L462" s="86"/>
      <c r="M462" s="86"/>
    </row>
    <row r="463" spans="1:18" ht="393.75">
      <c r="B463" s="9" t="s">
        <v>2264</v>
      </c>
      <c r="C463" s="9" t="s">
        <v>2307</v>
      </c>
      <c r="D463" s="11" t="s">
        <v>2265</v>
      </c>
      <c r="E463" s="13"/>
      <c r="F463" s="13"/>
      <c r="G463" s="13"/>
      <c r="H463" s="13"/>
      <c r="I463" s="13" t="s">
        <v>420</v>
      </c>
      <c r="J463" s="13"/>
      <c r="K463" s="18" t="s">
        <v>2266</v>
      </c>
      <c r="L463" s="86" t="s">
        <v>2267</v>
      </c>
      <c r="M463" s="86" t="s">
        <v>2267</v>
      </c>
    </row>
    <row r="464" spans="1:18" ht="75">
      <c r="B464" s="9" t="s">
        <v>2283</v>
      </c>
      <c r="C464" s="148" t="s">
        <v>2991</v>
      </c>
      <c r="D464" s="11" t="s">
        <v>2284</v>
      </c>
      <c r="E464" s="13"/>
      <c r="F464" s="13"/>
      <c r="G464" s="13"/>
      <c r="H464" s="13"/>
      <c r="I464" s="13" t="s">
        <v>420</v>
      </c>
      <c r="J464" s="13"/>
      <c r="K464" s="172" t="s">
        <v>2338</v>
      </c>
      <c r="L464" s="172" t="s">
        <v>2285</v>
      </c>
      <c r="M464" s="172" t="s">
        <v>2992</v>
      </c>
      <c r="O464" s="3" t="s">
        <v>816</v>
      </c>
      <c r="Q464" s="3" t="s">
        <v>816</v>
      </c>
      <c r="R464" s="162" t="s">
        <v>2440</v>
      </c>
    </row>
    <row r="465" spans="2:18" ht="75">
      <c r="B465" s="9" t="s">
        <v>2296</v>
      </c>
      <c r="C465" s="9" t="s">
        <v>2297</v>
      </c>
      <c r="D465" s="11" t="s">
        <v>2298</v>
      </c>
      <c r="E465" s="13"/>
      <c r="F465" s="13"/>
      <c r="G465" s="13"/>
      <c r="H465" s="13"/>
      <c r="I465" s="13" t="s">
        <v>420</v>
      </c>
      <c r="J465" s="13"/>
      <c r="K465" s="18" t="s">
        <v>2299</v>
      </c>
      <c r="L465" s="18" t="s">
        <v>2300</v>
      </c>
      <c r="M465" s="14"/>
      <c r="R465" s="3" t="s">
        <v>3348</v>
      </c>
    </row>
    <row r="466" spans="2:18" ht="206.25">
      <c r="B466" s="9" t="s">
        <v>2316</v>
      </c>
      <c r="C466" s="9" t="s">
        <v>2317</v>
      </c>
      <c r="D466" s="11" t="s">
        <v>2318</v>
      </c>
      <c r="E466" s="13"/>
      <c r="F466" s="13">
        <v>2</v>
      </c>
      <c r="G466" s="13"/>
      <c r="H466" s="13"/>
      <c r="I466" s="177" t="s">
        <v>985</v>
      </c>
      <c r="J466" s="13"/>
      <c r="K466" s="18" t="s">
        <v>2315</v>
      </c>
      <c r="L466" s="18"/>
      <c r="M466" s="18" t="s">
        <v>2319</v>
      </c>
      <c r="O466" s="3">
        <v>9676</v>
      </c>
      <c r="R466" s="13" t="s">
        <v>2985</v>
      </c>
    </row>
    <row r="467" spans="2:18" ht="318.75">
      <c r="B467" s="9" t="s">
        <v>2320</v>
      </c>
      <c r="C467" s="9" t="s">
        <v>2321</v>
      </c>
      <c r="D467" s="11" t="s">
        <v>2322</v>
      </c>
      <c r="E467" s="13"/>
      <c r="F467" s="13">
        <v>1</v>
      </c>
      <c r="G467" s="13"/>
      <c r="H467" s="13"/>
      <c r="I467" s="177" t="s">
        <v>985</v>
      </c>
      <c r="J467" s="13"/>
      <c r="K467" s="18" t="s">
        <v>2315</v>
      </c>
      <c r="L467" s="18" t="s">
        <v>1632</v>
      </c>
      <c r="M467" s="14"/>
      <c r="N467" s="2">
        <v>9676</v>
      </c>
      <c r="R467" s="13" t="s">
        <v>3143</v>
      </c>
    </row>
    <row r="468" spans="2:18" ht="281.25">
      <c r="B468" s="9" t="s">
        <v>2337</v>
      </c>
      <c r="C468" s="9" t="s">
        <v>3072</v>
      </c>
      <c r="D468" s="11" t="s">
        <v>3073</v>
      </c>
      <c r="E468" s="13"/>
      <c r="F468" s="13">
        <v>3</v>
      </c>
      <c r="G468" s="13"/>
      <c r="H468" s="13"/>
      <c r="I468" s="9" t="s">
        <v>2501</v>
      </c>
      <c r="J468" s="13"/>
      <c r="K468" s="18" t="s">
        <v>2335</v>
      </c>
      <c r="L468" s="18" t="s">
        <v>2338</v>
      </c>
      <c r="M468" s="14"/>
      <c r="P468" s="3">
        <v>32785</v>
      </c>
      <c r="R468" s="13">
        <v>4</v>
      </c>
    </row>
    <row r="469" spans="2:18" ht="93.75">
      <c r="B469" s="9" t="s">
        <v>2343</v>
      </c>
      <c r="C469" s="9" t="s">
        <v>2344</v>
      </c>
      <c r="D469" s="11" t="s">
        <v>2345</v>
      </c>
      <c r="E469" s="13">
        <v>4</v>
      </c>
      <c r="F469" s="13">
        <v>1</v>
      </c>
      <c r="G469" s="13"/>
      <c r="H469" s="13"/>
      <c r="I469" s="177" t="s">
        <v>985</v>
      </c>
      <c r="J469" s="13"/>
      <c r="K469" s="18" t="s">
        <v>3074</v>
      </c>
      <c r="L469" s="14"/>
      <c r="M469" s="18" t="s">
        <v>3002</v>
      </c>
    </row>
    <row r="470" spans="2:18" ht="93.75">
      <c r="B470" s="9" t="s">
        <v>2348</v>
      </c>
      <c r="C470" s="9" t="s">
        <v>2349</v>
      </c>
      <c r="D470" s="11" t="s">
        <v>2658</v>
      </c>
      <c r="E470" s="13"/>
      <c r="F470" s="13"/>
      <c r="G470" s="13"/>
      <c r="H470" s="13"/>
      <c r="I470" s="13" t="s">
        <v>420</v>
      </c>
      <c r="J470" s="13"/>
      <c r="K470" s="18" t="s">
        <v>2350</v>
      </c>
      <c r="L470" s="18" t="s">
        <v>1731</v>
      </c>
      <c r="M470" s="18" t="s">
        <v>1731</v>
      </c>
      <c r="R470" s="3" t="s">
        <v>3145</v>
      </c>
    </row>
    <row r="471" spans="2:18" ht="356.25">
      <c r="B471" s="136" t="s">
        <v>2380</v>
      </c>
      <c r="C471" s="136" t="s">
        <v>2729</v>
      </c>
      <c r="D471" s="136" t="s">
        <v>2730</v>
      </c>
      <c r="E471" s="13"/>
      <c r="F471" s="13"/>
      <c r="G471" s="13"/>
      <c r="H471" s="13"/>
      <c r="I471" s="13" t="s">
        <v>420</v>
      </c>
      <c r="J471" s="13"/>
      <c r="K471" s="119">
        <v>45979</v>
      </c>
      <c r="L471" s="344"/>
      <c r="M471" s="344" t="s">
        <v>1634</v>
      </c>
      <c r="R471" s="3" t="s">
        <v>3051</v>
      </c>
    </row>
    <row r="472" spans="2:18" ht="93.75">
      <c r="B472" s="107" t="s">
        <v>2380</v>
      </c>
      <c r="C472" s="107" t="s">
        <v>2729</v>
      </c>
      <c r="D472" s="11" t="s">
        <v>2789</v>
      </c>
      <c r="E472" s="13"/>
      <c r="F472" s="13"/>
      <c r="G472" s="13"/>
      <c r="H472" s="13"/>
      <c r="I472" s="13" t="s">
        <v>420</v>
      </c>
      <c r="J472" s="13"/>
      <c r="K472" s="208" t="s">
        <v>2790</v>
      </c>
      <c r="L472" s="340" t="s">
        <v>2791</v>
      </c>
      <c r="M472" s="341"/>
    </row>
    <row r="473" spans="2:18" ht="281.25">
      <c r="B473" s="9" t="s">
        <v>2400</v>
      </c>
      <c r="C473" s="9" t="s">
        <v>2401</v>
      </c>
      <c r="D473" s="11" t="s">
        <v>2402</v>
      </c>
      <c r="E473" s="13"/>
      <c r="F473" s="13">
        <v>3</v>
      </c>
      <c r="G473" s="13"/>
      <c r="H473" s="13"/>
      <c r="I473" s="13" t="s">
        <v>2336</v>
      </c>
      <c r="J473" s="9" t="s">
        <v>2403</v>
      </c>
      <c r="K473" s="18" t="s">
        <v>2404</v>
      </c>
      <c r="L473" s="18" t="s">
        <v>1784</v>
      </c>
      <c r="M473" s="18" t="s">
        <v>1784</v>
      </c>
      <c r="P473" s="3">
        <v>9676</v>
      </c>
      <c r="R473" s="3" t="s">
        <v>3167</v>
      </c>
    </row>
    <row r="474" spans="2:18" ht="409.5">
      <c r="B474" s="9" t="s">
        <v>2244</v>
      </c>
      <c r="C474" s="9" t="s">
        <v>2430</v>
      </c>
      <c r="D474" s="11" t="s">
        <v>2433</v>
      </c>
      <c r="E474" s="13"/>
      <c r="F474" s="13">
        <v>4</v>
      </c>
      <c r="G474" s="13"/>
      <c r="H474" s="13"/>
      <c r="I474" s="13" t="s">
        <v>2431</v>
      </c>
      <c r="J474" s="13"/>
      <c r="K474" s="18" t="s">
        <v>2432</v>
      </c>
      <c r="L474" s="18" t="s">
        <v>2249</v>
      </c>
      <c r="M474" s="14"/>
      <c r="R474" s="162" t="s">
        <v>2811</v>
      </c>
    </row>
    <row r="475" spans="2:18" ht="187.5">
      <c r="B475" s="9" t="s">
        <v>2451</v>
      </c>
      <c r="C475" s="9" t="s">
        <v>2013</v>
      </c>
      <c r="D475" s="11" t="s">
        <v>2452</v>
      </c>
      <c r="E475" s="13"/>
      <c r="F475" s="13">
        <v>1</v>
      </c>
      <c r="G475" s="13"/>
      <c r="H475" s="13"/>
      <c r="I475" s="9" t="s">
        <v>2410</v>
      </c>
      <c r="J475" s="13"/>
      <c r="K475" s="18" t="s">
        <v>2453</v>
      </c>
      <c r="L475" s="18" t="s">
        <v>1784</v>
      </c>
      <c r="M475" s="14"/>
      <c r="N475" s="2" t="s">
        <v>2090</v>
      </c>
      <c r="R475" s="3" t="s">
        <v>3173</v>
      </c>
    </row>
    <row r="476" spans="2:18" ht="75">
      <c r="B476" s="107" t="s">
        <v>2519</v>
      </c>
      <c r="C476" s="107" t="s">
        <v>2520</v>
      </c>
      <c r="D476" s="352" t="s">
        <v>2521</v>
      </c>
      <c r="E476" s="199">
        <v>3</v>
      </c>
      <c r="F476" s="199">
        <v>1</v>
      </c>
      <c r="G476" s="332"/>
      <c r="H476" s="333"/>
      <c r="I476" s="353" t="s">
        <v>2783</v>
      </c>
      <c r="J476" s="334"/>
      <c r="K476" s="119">
        <v>46002</v>
      </c>
      <c r="L476" s="344" t="s">
        <v>2134</v>
      </c>
      <c r="M476" s="329"/>
    </row>
    <row r="477" spans="2:18" ht="393.75">
      <c r="B477" s="9" t="s">
        <v>2559</v>
      </c>
      <c r="C477" s="9" t="s">
        <v>3464</v>
      </c>
      <c r="D477" s="11" t="s">
        <v>3465</v>
      </c>
      <c r="E477" s="13"/>
      <c r="F477" s="13"/>
      <c r="G477" s="13"/>
      <c r="H477" s="13"/>
      <c r="I477" s="13" t="s">
        <v>420</v>
      </c>
      <c r="J477" s="13"/>
      <c r="K477" s="18" t="s">
        <v>3466</v>
      </c>
      <c r="L477" s="18"/>
      <c r="M477" s="18" t="s">
        <v>3467</v>
      </c>
      <c r="N477" s="2" t="s">
        <v>1768</v>
      </c>
      <c r="R477" s="3" t="s">
        <v>3430</v>
      </c>
    </row>
    <row r="478" spans="2:18" ht="112.5">
      <c r="B478" s="9" t="s">
        <v>2311</v>
      </c>
      <c r="C478" s="9" t="s">
        <v>2568</v>
      </c>
      <c r="D478" s="11" t="s">
        <v>2569</v>
      </c>
      <c r="E478" s="13"/>
      <c r="F478" s="13">
        <v>1</v>
      </c>
      <c r="G478" s="13"/>
      <c r="H478" s="13"/>
      <c r="I478" s="13" t="s">
        <v>2314</v>
      </c>
      <c r="J478" s="13"/>
      <c r="K478" s="18" t="s">
        <v>2573</v>
      </c>
      <c r="L478" s="18" t="s">
        <v>1885</v>
      </c>
      <c r="M478" s="14"/>
      <c r="N478" s="2">
        <v>32714</v>
      </c>
      <c r="R478" s="162" t="s">
        <v>2720</v>
      </c>
    </row>
    <row r="479" spans="2:18" ht="409.5">
      <c r="B479" s="9" t="s">
        <v>2574</v>
      </c>
      <c r="C479" s="9" t="s">
        <v>2733</v>
      </c>
      <c r="D479" s="10" t="s">
        <v>2768</v>
      </c>
      <c r="E479" s="13"/>
      <c r="F479" s="9" t="s">
        <v>15</v>
      </c>
      <c r="G479" s="13"/>
      <c r="H479" s="13"/>
      <c r="I479" s="37" t="s">
        <v>2626</v>
      </c>
      <c r="J479" s="13"/>
      <c r="K479" s="18" t="s">
        <v>2666</v>
      </c>
      <c r="L479" s="18" t="s">
        <v>1426</v>
      </c>
      <c r="M479" s="14"/>
      <c r="N479" s="39" t="s">
        <v>2813</v>
      </c>
      <c r="O479" s="39" t="s">
        <v>2722</v>
      </c>
      <c r="P479" s="39" t="s">
        <v>2722</v>
      </c>
      <c r="Q479" s="39" t="s">
        <v>2722</v>
      </c>
      <c r="R479" s="13" t="s">
        <v>2833</v>
      </c>
    </row>
    <row r="480" spans="2:18" ht="262.5">
      <c r="B480" s="9" t="s">
        <v>2588</v>
      </c>
      <c r="C480" s="9" t="s">
        <v>2589</v>
      </c>
      <c r="D480" s="11" t="s">
        <v>2682</v>
      </c>
      <c r="E480" s="13"/>
      <c r="F480" s="13"/>
      <c r="G480" s="13"/>
      <c r="H480" s="13"/>
      <c r="I480" s="13" t="s">
        <v>420</v>
      </c>
      <c r="J480" s="13"/>
      <c r="K480" s="14">
        <v>45958</v>
      </c>
      <c r="L480" s="340">
        <v>46588</v>
      </c>
      <c r="M480" s="14"/>
      <c r="R480" s="3" t="s">
        <v>3348</v>
      </c>
    </row>
    <row r="481" spans="2:18" ht="375">
      <c r="B481" s="11" t="s">
        <v>1350</v>
      </c>
      <c r="C481" s="188" t="s">
        <v>3081</v>
      </c>
      <c r="D481" s="11" t="s">
        <v>2596</v>
      </c>
      <c r="E481" s="13">
        <v>4</v>
      </c>
      <c r="F481" s="13">
        <v>3</v>
      </c>
      <c r="G481" s="13"/>
      <c r="H481" s="13"/>
      <c r="I481" s="13" t="s">
        <v>2597</v>
      </c>
      <c r="J481" s="13"/>
      <c r="K481" s="18" t="s">
        <v>2594</v>
      </c>
      <c r="L481" s="18" t="s">
        <v>1906</v>
      </c>
      <c r="M481" s="18" t="s">
        <v>1906</v>
      </c>
      <c r="P481" s="2">
        <v>32785</v>
      </c>
    </row>
    <row r="482" spans="2:18" ht="243.75">
      <c r="B482" s="9" t="s">
        <v>2609</v>
      </c>
      <c r="C482" s="9" t="s">
        <v>2610</v>
      </c>
      <c r="D482" s="11" t="s">
        <v>2611</v>
      </c>
      <c r="E482" s="13">
        <v>4</v>
      </c>
      <c r="F482" s="13">
        <v>2</v>
      </c>
      <c r="G482" s="13"/>
      <c r="H482" s="13"/>
      <c r="I482" s="9" t="s">
        <v>2410</v>
      </c>
      <c r="J482" s="13"/>
      <c r="K482" s="18" t="s">
        <v>2612</v>
      </c>
      <c r="L482" s="18" t="s">
        <v>1906</v>
      </c>
      <c r="M482" s="14"/>
      <c r="O482" s="2">
        <v>32714</v>
      </c>
    </row>
    <row r="483" spans="2:18" ht="409.5">
      <c r="B483" s="337" t="s">
        <v>2914</v>
      </c>
      <c r="C483" s="11" t="s">
        <v>2628</v>
      </c>
      <c r="D483" s="11" t="s">
        <v>2915</v>
      </c>
      <c r="E483" s="37">
        <v>2</v>
      </c>
      <c r="F483" s="37">
        <v>4</v>
      </c>
      <c r="G483" s="13"/>
      <c r="H483" s="13"/>
      <c r="I483" s="9" t="s">
        <v>19</v>
      </c>
      <c r="J483" s="13"/>
      <c r="K483" s="295" t="s">
        <v>2913</v>
      </c>
      <c r="L483" s="114" t="s">
        <v>2916</v>
      </c>
      <c r="M483" s="114" t="s">
        <v>1543</v>
      </c>
      <c r="Q483" s="3">
        <v>13456</v>
      </c>
      <c r="R483" s="37">
        <v>6</v>
      </c>
    </row>
    <row r="484" spans="2:18" ht="132">
      <c r="B484" s="11" t="s">
        <v>2644</v>
      </c>
      <c r="C484" s="11" t="s">
        <v>2646</v>
      </c>
      <c r="D484" s="338" t="s">
        <v>2645</v>
      </c>
      <c r="E484" s="12">
        <v>4</v>
      </c>
      <c r="F484" s="37">
        <v>3</v>
      </c>
      <c r="G484" s="13"/>
      <c r="H484" s="13"/>
      <c r="I484" s="9" t="s">
        <v>2660</v>
      </c>
      <c r="J484" s="13"/>
      <c r="K484" s="76" t="s">
        <v>2647</v>
      </c>
      <c r="L484" s="76" t="s">
        <v>2648</v>
      </c>
      <c r="M484" s="14"/>
      <c r="P484" s="3">
        <v>32785</v>
      </c>
    </row>
    <row r="485" spans="2:18" ht="148.5">
      <c r="B485" s="11" t="s">
        <v>2644</v>
      </c>
      <c r="C485" s="11" t="s">
        <v>2650</v>
      </c>
      <c r="D485" s="338" t="s">
        <v>2649</v>
      </c>
      <c r="E485" s="12">
        <v>4</v>
      </c>
      <c r="F485" s="37">
        <v>3</v>
      </c>
      <c r="G485" s="13"/>
      <c r="H485" s="13"/>
      <c r="I485" s="9" t="s">
        <v>2660</v>
      </c>
      <c r="J485" s="13"/>
      <c r="K485" s="76" t="s">
        <v>2647</v>
      </c>
      <c r="L485" s="76" t="s">
        <v>2648</v>
      </c>
      <c r="M485" s="14"/>
      <c r="P485" s="3">
        <v>32785</v>
      </c>
    </row>
    <row r="486" spans="2:18" ht="300">
      <c r="B486" s="11" t="s">
        <v>2678</v>
      </c>
      <c r="C486" s="11" t="s">
        <v>2679</v>
      </c>
      <c r="D486" s="11" t="s">
        <v>2680</v>
      </c>
      <c r="E486" s="13">
        <v>4</v>
      </c>
      <c r="F486" s="13">
        <v>1</v>
      </c>
      <c r="G486" s="13"/>
      <c r="H486" s="13"/>
      <c r="I486" s="13" t="s">
        <v>2314</v>
      </c>
      <c r="J486" s="13"/>
      <c r="K486" s="209">
        <v>45954</v>
      </c>
      <c r="L486" s="343" t="s">
        <v>1906</v>
      </c>
      <c r="M486" s="14"/>
      <c r="N486" s="2">
        <v>32714</v>
      </c>
      <c r="O486" s="3" t="s">
        <v>3479</v>
      </c>
    </row>
    <row r="487" spans="2:18" ht="318.75">
      <c r="B487" s="11" t="s">
        <v>2697</v>
      </c>
      <c r="C487" s="10" t="s">
        <v>2698</v>
      </c>
      <c r="D487" s="204" t="s">
        <v>2699</v>
      </c>
      <c r="E487" s="13"/>
      <c r="F487" s="9" t="s">
        <v>15</v>
      </c>
      <c r="G487" s="13"/>
      <c r="H487" s="13"/>
      <c r="I487" s="13" t="s">
        <v>420</v>
      </c>
      <c r="J487" s="13"/>
      <c r="K487" s="119">
        <v>45965</v>
      </c>
      <c r="L487" s="344" t="s">
        <v>2761</v>
      </c>
      <c r="M487" s="14"/>
      <c r="N487" s="39" t="s">
        <v>3251</v>
      </c>
      <c r="O487" s="39" t="s">
        <v>3251</v>
      </c>
      <c r="P487" s="39" t="s">
        <v>3251</v>
      </c>
      <c r="Q487" s="39" t="s">
        <v>3251</v>
      </c>
      <c r="R487" s="13" t="s">
        <v>3441</v>
      </c>
    </row>
    <row r="488" spans="2:18" ht="243.75">
      <c r="B488" s="9" t="s">
        <v>2704</v>
      </c>
      <c r="C488" s="9" t="s">
        <v>2705</v>
      </c>
      <c r="D488" s="11" t="s">
        <v>2706</v>
      </c>
      <c r="E488" s="13">
        <v>4</v>
      </c>
      <c r="F488" s="13">
        <v>2</v>
      </c>
      <c r="G488" s="13"/>
      <c r="H488" s="13"/>
      <c r="I488" s="9" t="s">
        <v>2707</v>
      </c>
      <c r="J488" s="13"/>
      <c r="K488" s="119">
        <v>45979</v>
      </c>
      <c r="L488" s="18" t="s">
        <v>1906</v>
      </c>
      <c r="M488" s="14"/>
      <c r="O488" s="3">
        <v>9676</v>
      </c>
    </row>
    <row r="489" spans="2:18" ht="187.5">
      <c r="B489" s="11" t="s">
        <v>2644</v>
      </c>
      <c r="C489" s="10" t="s">
        <v>2762</v>
      </c>
      <c r="D489" s="337" t="s">
        <v>2763</v>
      </c>
      <c r="E489" s="13">
        <v>4</v>
      </c>
      <c r="F489" s="13">
        <v>3</v>
      </c>
      <c r="G489" s="13"/>
      <c r="H489" s="13"/>
      <c r="I489" s="13" t="s">
        <v>2765</v>
      </c>
      <c r="J489" s="13"/>
      <c r="K489" s="122" t="s">
        <v>2764</v>
      </c>
      <c r="L489" s="349" t="s">
        <v>2648</v>
      </c>
      <c r="M489" s="349" t="s">
        <v>2648</v>
      </c>
      <c r="P489" s="3" t="s">
        <v>3481</v>
      </c>
    </row>
    <row r="490" spans="2:18" ht="409.5">
      <c r="B490" s="354" t="s">
        <v>2784</v>
      </c>
      <c r="C490" s="10" t="s">
        <v>2785</v>
      </c>
      <c r="D490" s="10" t="s">
        <v>2786</v>
      </c>
      <c r="E490" s="13"/>
      <c r="F490" s="13"/>
      <c r="G490" s="13"/>
      <c r="H490" s="13"/>
      <c r="I490" s="10" t="s">
        <v>571</v>
      </c>
      <c r="J490" s="13"/>
      <c r="K490" s="119">
        <v>46002</v>
      </c>
      <c r="L490" s="340"/>
      <c r="M490" s="349" t="s">
        <v>2085</v>
      </c>
    </row>
    <row r="491" spans="2:18" ht="409.5">
      <c r="B491" s="9" t="s">
        <v>2814</v>
      </c>
      <c r="C491" s="9" t="s">
        <v>2815</v>
      </c>
      <c r="D491" s="11" t="s">
        <v>2867</v>
      </c>
      <c r="E491" s="13"/>
      <c r="F491" s="13"/>
      <c r="G491" s="13"/>
      <c r="H491" s="13"/>
      <c r="I491" s="13" t="s">
        <v>420</v>
      </c>
      <c r="J491" s="13"/>
      <c r="K491" s="18" t="s">
        <v>2866</v>
      </c>
      <c r="L491" s="18" t="s">
        <v>2816</v>
      </c>
      <c r="M491" s="14"/>
      <c r="N491" s="2" t="s">
        <v>3219</v>
      </c>
    </row>
    <row r="492" spans="2:18" ht="409.5">
      <c r="B492" s="355" t="s">
        <v>2817</v>
      </c>
      <c r="C492" s="356" t="s">
        <v>2818</v>
      </c>
      <c r="D492" s="10" t="s">
        <v>3134</v>
      </c>
      <c r="E492" s="13"/>
      <c r="F492" s="9" t="s">
        <v>15</v>
      </c>
      <c r="G492" s="13"/>
      <c r="H492" s="13"/>
      <c r="I492" s="13" t="s">
        <v>420</v>
      </c>
      <c r="J492" s="13"/>
      <c r="K492" s="18" t="s">
        <v>2819</v>
      </c>
      <c r="L492" s="18" t="s">
        <v>2821</v>
      </c>
      <c r="M492" s="14"/>
      <c r="N492" s="39" t="s">
        <v>2929</v>
      </c>
      <c r="O492" s="39" t="s">
        <v>2929</v>
      </c>
      <c r="P492" s="39" t="s">
        <v>2929</v>
      </c>
      <c r="Q492" s="39" t="s">
        <v>2929</v>
      </c>
    </row>
    <row r="493" spans="2:18" ht="75">
      <c r="B493" s="355" t="s">
        <v>2817</v>
      </c>
      <c r="C493" s="356" t="s">
        <v>2818</v>
      </c>
      <c r="D493" s="10" t="s">
        <v>2820</v>
      </c>
      <c r="E493" s="13"/>
      <c r="F493" s="13"/>
      <c r="G493" s="13"/>
      <c r="H493" s="13"/>
      <c r="I493" s="13" t="s">
        <v>420</v>
      </c>
      <c r="J493" s="13"/>
      <c r="K493" s="18" t="s">
        <v>2819</v>
      </c>
      <c r="L493" s="18" t="s">
        <v>2821</v>
      </c>
      <c r="M493" s="14"/>
      <c r="N493" s="2" t="s">
        <v>119</v>
      </c>
      <c r="O493" s="2" t="s">
        <v>119</v>
      </c>
      <c r="P493" s="2" t="s">
        <v>119</v>
      </c>
      <c r="Q493" s="2" t="s">
        <v>119</v>
      </c>
    </row>
    <row r="494" spans="2:18" ht="356.25">
      <c r="B494" s="136" t="s">
        <v>2836</v>
      </c>
      <c r="C494" s="136" t="s">
        <v>2837</v>
      </c>
      <c r="D494" s="136" t="s">
        <v>2838</v>
      </c>
      <c r="E494" s="13">
        <v>6</v>
      </c>
      <c r="F494" s="9" t="s">
        <v>15</v>
      </c>
      <c r="G494" s="13"/>
      <c r="H494" s="13"/>
      <c r="I494" s="13" t="s">
        <v>2702</v>
      </c>
      <c r="J494" s="13"/>
      <c r="K494" s="18" t="s">
        <v>2879</v>
      </c>
      <c r="L494" s="18" t="s">
        <v>2880</v>
      </c>
      <c r="M494" s="14"/>
      <c r="N494" s="39" t="s">
        <v>2839</v>
      </c>
      <c r="O494" s="39" t="s">
        <v>2839</v>
      </c>
      <c r="P494" s="39" t="s">
        <v>2839</v>
      </c>
      <c r="Q494" s="39" t="s">
        <v>2839</v>
      </c>
    </row>
    <row r="495" spans="2:18" ht="375">
      <c r="B495" s="11" t="s">
        <v>2824</v>
      </c>
      <c r="C495" s="11" t="s">
        <v>2825</v>
      </c>
      <c r="D495" s="11" t="s">
        <v>2843</v>
      </c>
      <c r="E495" s="13"/>
      <c r="F495" s="13"/>
      <c r="G495" s="13"/>
      <c r="H495" s="13"/>
      <c r="I495" s="13" t="s">
        <v>420</v>
      </c>
      <c r="J495" s="13"/>
      <c r="K495" s="18" t="s">
        <v>2826</v>
      </c>
      <c r="L495" s="18" t="s">
        <v>2828</v>
      </c>
      <c r="M495" s="14"/>
    </row>
    <row r="496" spans="2:18" ht="93.75">
      <c r="B496" s="11" t="s">
        <v>2824</v>
      </c>
      <c r="C496" s="11" t="s">
        <v>2825</v>
      </c>
      <c r="D496" s="350" t="s">
        <v>2923</v>
      </c>
      <c r="E496" s="13"/>
      <c r="F496" s="13"/>
      <c r="G496" s="13"/>
      <c r="H496" s="13"/>
      <c r="I496" s="13" t="s">
        <v>420</v>
      </c>
      <c r="J496" s="13"/>
      <c r="K496" s="18" t="s">
        <v>2826</v>
      </c>
      <c r="L496" s="18"/>
      <c r="M496" s="18" t="s">
        <v>2828</v>
      </c>
    </row>
    <row r="497" spans="2:16" ht="281.25">
      <c r="B497" s="9" t="s">
        <v>2924</v>
      </c>
      <c r="C497" s="9" t="s">
        <v>2925</v>
      </c>
      <c r="D497" s="11" t="s">
        <v>2926</v>
      </c>
      <c r="E497" s="13">
        <v>4</v>
      </c>
      <c r="F497" s="13">
        <v>3</v>
      </c>
      <c r="G497" s="13"/>
      <c r="H497" s="13"/>
      <c r="I497" s="13" t="s">
        <v>2336</v>
      </c>
      <c r="J497" s="13"/>
      <c r="K497" s="18" t="s">
        <v>2927</v>
      </c>
      <c r="L497" s="18" t="s">
        <v>2928</v>
      </c>
      <c r="M497" s="18" t="s">
        <v>2928</v>
      </c>
      <c r="P497" s="2" t="s">
        <v>3026</v>
      </c>
    </row>
    <row r="498" spans="2:16" ht="225">
      <c r="B498" s="9" t="s">
        <v>2932</v>
      </c>
      <c r="C498" s="11" t="s">
        <v>2933</v>
      </c>
      <c r="D498" s="11" t="s">
        <v>2950</v>
      </c>
      <c r="E498" s="13">
        <v>4</v>
      </c>
      <c r="F498" s="13">
        <v>1</v>
      </c>
      <c r="G498" s="13"/>
      <c r="H498" s="13"/>
      <c r="I498" s="13" t="s">
        <v>2314</v>
      </c>
      <c r="J498" s="13"/>
      <c r="K498" s="18" t="s">
        <v>2934</v>
      </c>
      <c r="L498" s="14"/>
      <c r="M498" s="18" t="s">
        <v>2319</v>
      </c>
    </row>
    <row r="499" spans="2:16" ht="225">
      <c r="B499" s="9" t="s">
        <v>2949</v>
      </c>
      <c r="C499" s="9" t="s">
        <v>2933</v>
      </c>
      <c r="D499" s="11" t="s">
        <v>2950</v>
      </c>
      <c r="E499" s="13">
        <v>4</v>
      </c>
      <c r="F499" s="13">
        <v>1</v>
      </c>
      <c r="G499" s="13"/>
      <c r="H499" s="13"/>
      <c r="I499" s="13" t="s">
        <v>2314</v>
      </c>
      <c r="J499" s="13"/>
      <c r="K499" s="18" t="s">
        <v>2948</v>
      </c>
      <c r="L499" s="14"/>
      <c r="M499" s="18" t="s">
        <v>2319</v>
      </c>
    </row>
    <row r="500" spans="2:16" ht="225">
      <c r="B500" s="9" t="s">
        <v>3005</v>
      </c>
      <c r="C500" s="9" t="s">
        <v>2933</v>
      </c>
      <c r="D500" s="11" t="s">
        <v>2950</v>
      </c>
      <c r="E500" s="13">
        <v>4</v>
      </c>
      <c r="F500" s="13">
        <v>1</v>
      </c>
      <c r="G500" s="13"/>
      <c r="H500" s="13"/>
      <c r="I500" s="13" t="s">
        <v>2314</v>
      </c>
      <c r="J500" s="13"/>
      <c r="K500" s="18" t="s">
        <v>3030</v>
      </c>
      <c r="L500" s="14"/>
      <c r="M500" s="18" t="s">
        <v>2319</v>
      </c>
    </row>
    <row r="501" spans="2:16" ht="318.75">
      <c r="B501" s="9" t="s">
        <v>3069</v>
      </c>
      <c r="C501" s="9" t="s">
        <v>3070</v>
      </c>
      <c r="D501" s="11" t="s">
        <v>3071</v>
      </c>
      <c r="E501" s="13"/>
      <c r="F501" s="13"/>
      <c r="G501" s="13"/>
      <c r="H501" s="13"/>
      <c r="I501" s="13" t="s">
        <v>420</v>
      </c>
      <c r="J501" s="13"/>
      <c r="K501" s="18" t="s">
        <v>1728</v>
      </c>
      <c r="L501" s="18" t="s">
        <v>2319</v>
      </c>
      <c r="M501" s="18" t="s">
        <v>2319</v>
      </c>
    </row>
    <row r="502" spans="2:16" ht="93.75">
      <c r="B502" s="11" t="s">
        <v>3084</v>
      </c>
      <c r="C502" s="136" t="s">
        <v>3085</v>
      </c>
      <c r="D502" s="136" t="s">
        <v>3086</v>
      </c>
      <c r="E502" s="166"/>
      <c r="F502" s="166"/>
      <c r="G502" s="166"/>
      <c r="H502" s="166"/>
      <c r="I502" s="166" t="s">
        <v>420</v>
      </c>
      <c r="J502" s="166"/>
      <c r="K502" s="175" t="s">
        <v>3087</v>
      </c>
      <c r="L502" s="175"/>
      <c r="M502" s="77" t="s">
        <v>3088</v>
      </c>
      <c r="N502" s="2" t="s">
        <v>3089</v>
      </c>
      <c r="O502" s="2" t="s">
        <v>3090</v>
      </c>
    </row>
    <row r="503" spans="2:16" ht="187.5">
      <c r="B503" s="11" t="s">
        <v>3305</v>
      </c>
      <c r="C503" s="11" t="s">
        <v>3306</v>
      </c>
      <c r="D503" s="31" t="s">
        <v>3304</v>
      </c>
      <c r="E503" s="166">
        <v>4</v>
      </c>
      <c r="F503" s="166">
        <v>1</v>
      </c>
      <c r="G503" s="166"/>
      <c r="H503" s="166"/>
      <c r="I503" s="148" t="s">
        <v>1678</v>
      </c>
      <c r="J503" s="166"/>
      <c r="K503" s="175" t="s">
        <v>3307</v>
      </c>
      <c r="L503" s="365" t="s">
        <v>1871</v>
      </c>
      <c r="M503" s="175"/>
      <c r="N503" s="39" t="s">
        <v>3308</v>
      </c>
    </row>
    <row r="504" spans="2:16" ht="300">
      <c r="B504" s="10" t="s">
        <v>3350</v>
      </c>
      <c r="C504" s="10" t="s">
        <v>3352</v>
      </c>
      <c r="D504" s="10" t="s">
        <v>3351</v>
      </c>
      <c r="E504" s="13"/>
      <c r="F504" s="13"/>
      <c r="G504" s="13"/>
      <c r="H504" s="13"/>
      <c r="I504" s="13" t="s">
        <v>420</v>
      </c>
      <c r="J504" s="13"/>
      <c r="K504" s="18" t="s">
        <v>3353</v>
      </c>
      <c r="L504" s="14"/>
      <c r="M504" s="18" t="s">
        <v>3354</v>
      </c>
      <c r="N504" s="370" t="s">
        <v>3287</v>
      </c>
    </row>
    <row r="505" spans="2:16" ht="409.5">
      <c r="B505" s="9" t="s">
        <v>3403</v>
      </c>
      <c r="C505" s="9" t="s">
        <v>3404</v>
      </c>
      <c r="D505" s="11" t="s">
        <v>3405</v>
      </c>
      <c r="E505" s="13"/>
      <c r="F505" s="13"/>
      <c r="G505" s="13"/>
      <c r="H505" s="13"/>
      <c r="I505" s="13" t="s">
        <v>420</v>
      </c>
      <c r="J505" s="13"/>
      <c r="K505" s="18" t="s">
        <v>3402</v>
      </c>
      <c r="L505" s="14"/>
      <c r="M505" s="18" t="s">
        <v>3374</v>
      </c>
      <c r="N505" s="39" t="s">
        <v>3406</v>
      </c>
    </row>
    <row r="506" spans="2:16" ht="409.5">
      <c r="B506" s="9" t="s">
        <v>3468</v>
      </c>
      <c r="C506" s="9" t="s">
        <v>3469</v>
      </c>
      <c r="D506" s="11" t="s">
        <v>3470</v>
      </c>
      <c r="E506" s="13">
        <v>4</v>
      </c>
      <c r="F506" s="13">
        <v>1</v>
      </c>
      <c r="G506" s="13"/>
      <c r="H506" s="13"/>
      <c r="I506" s="13" t="s">
        <v>2314</v>
      </c>
      <c r="J506" s="13"/>
      <c r="K506" s="18" t="s">
        <v>3466</v>
      </c>
      <c r="L506" s="14"/>
      <c r="M506" s="18" t="s">
        <v>3354</v>
      </c>
    </row>
    <row r="1048384" spans="16:17">
      <c r="P1048384" s="2">
        <v>32714</v>
      </c>
      <c r="Q1048384" s="2">
        <v>32785</v>
      </c>
    </row>
  </sheetData>
  <autoFilter ref="A3:AE506" xr:uid="{00000000-0001-0000-0000-000000000000}"/>
  <mergeCells count="1">
    <mergeCell ref="A1:K2"/>
  </mergeCells>
  <phoneticPr fontId="20" type="noConversion"/>
  <conditionalFormatting sqref="B3">
    <cfRule type="duplicateValues" dxfId="4" priority="1"/>
  </conditionalFormatting>
  <conditionalFormatting sqref="B452">
    <cfRule type="duplicateValues" dxfId="3" priority="2"/>
  </conditionalFormatting>
  <printOptions horizontalCentered="1"/>
  <pageMargins left="0.25" right="0.196850393700787" top="0.196850393700787" bottom="0.196850393700787" header="0.196850393700787" footer="0.196850393700787"/>
  <pageSetup paperSize="9" scale="72" orientation="landscape" r:id="rId1"/>
  <headerFooter alignWithMargins="0">
    <oddFooter>&amp;CPage &amp;P&amp;RTAN UYEN.xls</oddFooter>
  </headerFooter>
  <colBreaks count="1" manualBreakCount="1">
    <brk id="13" max="1048575" man="1"/>
  </colBreaks>
  <ignoredErrors>
    <ignoredError sqref="J53" numberStoredAsText="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264"/>
  <sheetViews>
    <sheetView zoomScale="70" zoomScaleNormal="70" workbookViewId="0">
      <pane xSplit="1" ySplit="4" topLeftCell="B259" activePane="bottomRight" state="frozen"/>
      <selection pane="topRight"/>
      <selection pane="bottomLeft"/>
      <selection pane="bottomRight" activeCell="I263" sqref="I263"/>
    </sheetView>
  </sheetViews>
  <sheetFormatPr defaultColWidth="9.140625" defaultRowHeight="18.75"/>
  <cols>
    <col min="1" max="1" width="7" style="3" customWidth="1"/>
    <col min="2" max="2" width="32" style="99" customWidth="1"/>
    <col min="3" max="3" width="21.42578125" style="99" customWidth="1"/>
    <col min="4" max="4" width="30.5703125" style="181" customWidth="1"/>
    <col min="5" max="5" width="15.42578125" style="3" bestFit="1" customWidth="1"/>
    <col min="6" max="6" width="13.5703125" style="3" bestFit="1" customWidth="1"/>
    <col min="7" max="7" width="11.140625" style="3" customWidth="1"/>
    <col min="8" max="8" width="15.7109375" style="3" customWidth="1"/>
    <col min="9" max="9" width="20.85546875" style="3" bestFit="1" customWidth="1"/>
    <col min="10" max="10" width="22" style="3" bestFit="1" customWidth="1"/>
    <col min="11" max="11" width="23.28515625" style="15" bestFit="1" customWidth="1"/>
    <col min="12" max="12" width="19" style="15" customWidth="1"/>
    <col min="13" max="13" width="15.140625" style="15" customWidth="1"/>
    <col min="14" max="14" width="37.7109375" style="3" bestFit="1" customWidth="1"/>
    <col min="15" max="15" width="26.7109375" style="3" customWidth="1"/>
    <col min="16" max="16" width="29.7109375" style="3" customWidth="1"/>
    <col min="17" max="17" width="24.42578125" style="3" bestFit="1" customWidth="1"/>
    <col min="18" max="18" width="11.85546875" style="3" customWidth="1"/>
    <col min="19" max="16384" width="9.140625" style="3"/>
  </cols>
  <sheetData>
    <row r="1" spans="1:60" ht="39.75" customHeight="1">
      <c r="A1" s="374" t="s">
        <v>722</v>
      </c>
      <c r="B1" s="374"/>
      <c r="C1" s="374"/>
      <c r="D1" s="374"/>
      <c r="E1" s="374"/>
      <c r="F1" s="374"/>
      <c r="G1" s="374"/>
      <c r="H1" s="374"/>
      <c r="I1" s="374"/>
      <c r="J1" s="374"/>
      <c r="K1" s="374"/>
      <c r="L1" s="1"/>
      <c r="M1" s="1"/>
    </row>
    <row r="2" spans="1:60" s="8" customFormat="1" ht="55.5" customHeight="1">
      <c r="A2" s="229" t="s">
        <v>4</v>
      </c>
      <c r="B2" s="5" t="s">
        <v>5</v>
      </c>
      <c r="C2" s="5" t="s">
        <v>6</v>
      </c>
      <c r="D2" s="5" t="s">
        <v>7</v>
      </c>
      <c r="E2" s="5" t="s">
        <v>8</v>
      </c>
      <c r="F2" s="5" t="s">
        <v>9</v>
      </c>
      <c r="G2" s="5" t="s">
        <v>10</v>
      </c>
      <c r="H2" s="230" t="s">
        <v>11</v>
      </c>
      <c r="I2" s="5" t="s">
        <v>1892</v>
      </c>
      <c r="J2" s="4" t="s">
        <v>12</v>
      </c>
      <c r="K2" s="6" t="s">
        <v>1893</v>
      </c>
      <c r="L2" s="231" t="s">
        <v>1894</v>
      </c>
      <c r="M2" s="231" t="s">
        <v>1895</v>
      </c>
      <c r="N2" s="8" t="s">
        <v>1896</v>
      </c>
      <c r="O2" s="8" t="s">
        <v>997</v>
      </c>
      <c r="P2" s="8" t="s">
        <v>998</v>
      </c>
      <c r="Q2" s="8" t="s">
        <v>999</v>
      </c>
    </row>
    <row r="3" spans="1:60" s="8" customFormat="1" ht="15.75" customHeight="1">
      <c r="A3" s="74"/>
      <c r="B3" s="69" t="s">
        <v>1135</v>
      </c>
      <c r="C3" s="69"/>
      <c r="D3" s="69"/>
      <c r="E3" s="69"/>
      <c r="F3" s="69"/>
      <c r="G3" s="69" t="s">
        <v>13</v>
      </c>
      <c r="H3" s="69" t="s">
        <v>14</v>
      </c>
      <c r="I3" s="69"/>
      <c r="J3" s="69"/>
      <c r="K3" s="182"/>
      <c r="L3" s="183"/>
      <c r="M3" s="183"/>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row>
    <row r="4" spans="1:60">
      <c r="A4" s="101"/>
      <c r="B4" s="101">
        <f>COUNT(A5:A218)</f>
        <v>30</v>
      </c>
      <c r="C4" s="101"/>
      <c r="D4" s="101"/>
      <c r="E4" s="101"/>
      <c r="F4" s="101"/>
      <c r="G4" s="101">
        <f>COUNTIF($G$5:$G$218,$G$24)</f>
        <v>121</v>
      </c>
      <c r="H4" s="101">
        <f>COUNTIF($H$6:$H$218,#REF!)</f>
        <v>0</v>
      </c>
      <c r="I4" s="101"/>
      <c r="J4" s="101"/>
      <c r="K4" s="184"/>
      <c r="L4" s="185"/>
      <c r="M4" s="185"/>
    </row>
    <row r="5" spans="1:60" ht="75">
      <c r="A5" s="13">
        <v>1</v>
      </c>
      <c r="B5" s="62" t="s">
        <v>1868</v>
      </c>
      <c r="C5" s="93" t="s">
        <v>1867</v>
      </c>
      <c r="D5" s="32" t="s">
        <v>1869</v>
      </c>
      <c r="E5" s="12"/>
      <c r="F5" s="12">
        <v>4</v>
      </c>
      <c r="G5" s="12" t="s">
        <v>16</v>
      </c>
      <c r="H5" s="9" t="s">
        <v>43</v>
      </c>
      <c r="I5" s="17" t="s">
        <v>19</v>
      </c>
      <c r="J5" s="30" t="s">
        <v>342</v>
      </c>
      <c r="K5" s="18" t="s">
        <v>1866</v>
      </c>
      <c r="L5" s="25" t="s">
        <v>1859</v>
      </c>
      <c r="M5" s="25" t="s">
        <v>1859</v>
      </c>
      <c r="Q5" s="3">
        <v>816</v>
      </c>
      <c r="R5" s="162" t="s">
        <v>3428</v>
      </c>
    </row>
    <row r="6" spans="1:60" s="187" customFormat="1" ht="93.75">
      <c r="A6" s="9">
        <v>2</v>
      </c>
      <c r="B6" s="11" t="s">
        <v>1831</v>
      </c>
      <c r="C6" s="11" t="s">
        <v>2241</v>
      </c>
      <c r="D6" s="66" t="s">
        <v>2242</v>
      </c>
      <c r="E6" s="13"/>
      <c r="F6" s="9" t="s">
        <v>2701</v>
      </c>
      <c r="G6" s="29" t="s">
        <v>16</v>
      </c>
      <c r="H6" s="9" t="s">
        <v>78</v>
      </c>
      <c r="I6" s="28" t="s">
        <v>723</v>
      </c>
      <c r="J6" s="82" t="s">
        <v>724</v>
      </c>
      <c r="K6" s="186" t="s">
        <v>2243</v>
      </c>
      <c r="L6" s="20" t="s">
        <v>1634</v>
      </c>
      <c r="M6" s="20" t="s">
        <v>1634</v>
      </c>
      <c r="N6" s="3">
        <v>816</v>
      </c>
      <c r="O6" s="3">
        <v>816</v>
      </c>
      <c r="P6" s="3">
        <v>816</v>
      </c>
      <c r="Q6" s="3">
        <v>816</v>
      </c>
      <c r="R6" s="323" t="s">
        <v>2396</v>
      </c>
    </row>
    <row r="7" spans="1:60" s="131" customFormat="1" ht="56.25">
      <c r="A7" s="237">
        <v>4</v>
      </c>
      <c r="B7" s="235" t="s">
        <v>1314</v>
      </c>
      <c r="C7" s="235" t="s">
        <v>880</v>
      </c>
      <c r="D7" s="256" t="s">
        <v>725</v>
      </c>
      <c r="F7" s="9" t="s">
        <v>2701</v>
      </c>
      <c r="G7" s="246" t="s">
        <v>16</v>
      </c>
      <c r="H7" s="237" t="s">
        <v>201</v>
      </c>
      <c r="I7" s="253" t="s">
        <v>723</v>
      </c>
      <c r="J7" s="257" t="s">
        <v>253</v>
      </c>
      <c r="K7" s="258">
        <v>44497</v>
      </c>
      <c r="L7" s="259" t="s">
        <v>540</v>
      </c>
      <c r="M7" s="260"/>
      <c r="N7" s="131">
        <v>816</v>
      </c>
      <c r="O7" s="131">
        <v>816</v>
      </c>
      <c r="P7" s="131">
        <v>816</v>
      </c>
      <c r="Q7" s="131">
        <v>816</v>
      </c>
      <c r="R7" s="244" t="s">
        <v>2073</v>
      </c>
    </row>
    <row r="8" spans="1:60" ht="108" customHeight="1">
      <c r="A8" s="13">
        <v>5</v>
      </c>
      <c r="B8" s="11" t="s">
        <v>3034</v>
      </c>
      <c r="C8" s="11" t="s">
        <v>3032</v>
      </c>
      <c r="D8" s="188" t="s">
        <v>2888</v>
      </c>
      <c r="E8" s="12">
        <v>5</v>
      </c>
      <c r="F8" s="9" t="s">
        <v>2701</v>
      </c>
      <c r="G8" s="29" t="s">
        <v>16</v>
      </c>
      <c r="H8" s="9" t="s">
        <v>223</v>
      </c>
      <c r="I8" s="28" t="s">
        <v>723</v>
      </c>
      <c r="J8" s="28" t="s">
        <v>726</v>
      </c>
      <c r="K8" s="18" t="s">
        <v>3030</v>
      </c>
      <c r="L8" s="98" t="s">
        <v>2897</v>
      </c>
      <c r="M8" s="98" t="s">
        <v>2897</v>
      </c>
      <c r="N8" s="3">
        <v>816</v>
      </c>
      <c r="O8" s="3">
        <v>816</v>
      </c>
      <c r="P8" s="3">
        <v>816</v>
      </c>
      <c r="Q8" s="3">
        <v>816</v>
      </c>
      <c r="R8" s="12">
        <v>5</v>
      </c>
    </row>
    <row r="9" spans="1:60" ht="108" customHeight="1">
      <c r="A9" s="13"/>
      <c r="B9" s="261" t="s">
        <v>2182</v>
      </c>
      <c r="C9" s="235" t="s">
        <v>2183</v>
      </c>
      <c r="D9" s="256" t="s">
        <v>2020</v>
      </c>
      <c r="F9" s="13"/>
      <c r="G9" s="246"/>
      <c r="H9" s="237"/>
      <c r="I9" s="253" t="s">
        <v>2184</v>
      </c>
      <c r="J9" s="253"/>
      <c r="K9" s="242"/>
      <c r="L9" s="318" t="s">
        <v>2185</v>
      </c>
      <c r="M9" s="318"/>
      <c r="R9" s="99" t="s">
        <v>2354</v>
      </c>
    </row>
    <row r="10" spans="1:60" ht="131.25">
      <c r="A10" s="13"/>
      <c r="B10" s="11" t="s">
        <v>1816</v>
      </c>
      <c r="C10" s="11" t="s">
        <v>1817</v>
      </c>
      <c r="D10" s="66" t="s">
        <v>1818</v>
      </c>
      <c r="E10" s="12"/>
      <c r="F10" s="12"/>
      <c r="G10" s="29" t="s">
        <v>16</v>
      </c>
      <c r="H10" s="9" t="s">
        <v>78</v>
      </c>
      <c r="I10" s="28" t="s">
        <v>571</v>
      </c>
      <c r="J10" s="28"/>
      <c r="K10" s="14" t="s">
        <v>1819</v>
      </c>
      <c r="L10" s="25" t="s">
        <v>1731</v>
      </c>
      <c r="N10" s="3">
        <v>816</v>
      </c>
      <c r="O10" s="3">
        <v>816</v>
      </c>
      <c r="R10" s="3" t="s">
        <v>3145</v>
      </c>
    </row>
    <row r="11" spans="1:60" ht="131.25">
      <c r="A11" s="13"/>
      <c r="B11" s="11" t="s">
        <v>1228</v>
      </c>
      <c r="C11" s="11" t="s">
        <v>2127</v>
      </c>
      <c r="D11" s="66" t="s">
        <v>2128</v>
      </c>
      <c r="E11" s="12"/>
      <c r="F11" s="12">
        <v>1</v>
      </c>
      <c r="G11" s="29"/>
      <c r="H11" s="9"/>
      <c r="I11" s="28" t="s">
        <v>2129</v>
      </c>
      <c r="J11" s="28"/>
      <c r="K11" s="18" t="s">
        <v>2125</v>
      </c>
      <c r="L11" s="25"/>
      <c r="M11" s="25" t="s">
        <v>2130</v>
      </c>
      <c r="R11" s="162" t="s">
        <v>2688</v>
      </c>
    </row>
    <row r="12" spans="1:60" ht="131.25">
      <c r="A12" s="9">
        <v>6</v>
      </c>
      <c r="B12" s="11" t="s">
        <v>1322</v>
      </c>
      <c r="C12" s="328" t="s">
        <v>2508</v>
      </c>
      <c r="D12" s="32" t="s">
        <v>2842</v>
      </c>
      <c r="E12" s="12"/>
      <c r="F12" s="12"/>
      <c r="G12" s="37" t="s">
        <v>192</v>
      </c>
      <c r="H12" s="34" t="s">
        <v>96</v>
      </c>
      <c r="I12" s="28" t="s">
        <v>571</v>
      </c>
      <c r="J12" s="28" t="s">
        <v>538</v>
      </c>
      <c r="K12" s="18" t="s">
        <v>2850</v>
      </c>
      <c r="L12" s="45" t="s">
        <v>1592</v>
      </c>
      <c r="M12" s="45" t="s">
        <v>1592</v>
      </c>
      <c r="N12" s="3">
        <v>816</v>
      </c>
      <c r="O12" s="3">
        <v>816</v>
      </c>
    </row>
    <row r="13" spans="1:60" ht="131.25">
      <c r="A13" s="9"/>
      <c r="B13" s="11" t="s">
        <v>1322</v>
      </c>
      <c r="C13" s="358" t="s">
        <v>2508</v>
      </c>
      <c r="D13" s="32" t="s">
        <v>3009</v>
      </c>
      <c r="E13" s="12"/>
      <c r="F13" s="12"/>
      <c r="G13" s="37"/>
      <c r="H13" s="34"/>
      <c r="I13" s="28"/>
      <c r="J13" s="28"/>
      <c r="K13" s="18"/>
      <c r="L13" s="84" t="s">
        <v>3010</v>
      </c>
      <c r="M13" s="84"/>
    </row>
    <row r="14" spans="1:60" ht="131.25">
      <c r="A14" s="9"/>
      <c r="B14" s="11" t="s">
        <v>1956</v>
      </c>
      <c r="C14" s="11" t="s">
        <v>1957</v>
      </c>
      <c r="D14" s="32" t="s">
        <v>1959</v>
      </c>
      <c r="E14" s="12"/>
      <c r="F14" s="12"/>
      <c r="G14" s="37" t="s">
        <v>192</v>
      </c>
      <c r="H14" s="34" t="s">
        <v>96</v>
      </c>
      <c r="I14" s="157"/>
      <c r="J14" s="28"/>
      <c r="K14" s="18" t="s">
        <v>1954</v>
      </c>
      <c r="L14" s="98"/>
      <c r="M14" s="98" t="s">
        <v>1906</v>
      </c>
    </row>
    <row r="15" spans="1:60" ht="131.25">
      <c r="A15" s="9"/>
      <c r="B15" s="62" t="s">
        <v>1229</v>
      </c>
      <c r="C15" s="93" t="s">
        <v>439</v>
      </c>
      <c r="D15" s="66" t="s">
        <v>728</v>
      </c>
      <c r="E15" s="12"/>
      <c r="F15" s="12">
        <v>1</v>
      </c>
      <c r="G15" s="29" t="s">
        <v>551</v>
      </c>
      <c r="H15" s="9" t="s">
        <v>18</v>
      </c>
      <c r="I15" s="28" t="s">
        <v>19</v>
      </c>
      <c r="J15" s="28" t="s">
        <v>441</v>
      </c>
      <c r="K15" s="14">
        <v>44354</v>
      </c>
      <c r="L15" s="19" t="s">
        <v>300</v>
      </c>
      <c r="M15" s="20"/>
      <c r="N15" s="3">
        <v>816</v>
      </c>
      <c r="O15" s="3">
        <v>816</v>
      </c>
      <c r="S15" s="3" t="s">
        <v>1003</v>
      </c>
    </row>
    <row r="16" spans="1:60" ht="112.5">
      <c r="A16" s="9"/>
      <c r="B16" s="11" t="s">
        <v>3447</v>
      </c>
      <c r="C16" s="11" t="s">
        <v>3443</v>
      </c>
      <c r="D16" s="66" t="s">
        <v>3448</v>
      </c>
      <c r="E16" s="12">
        <v>5</v>
      </c>
      <c r="F16" s="12">
        <v>1</v>
      </c>
      <c r="G16" s="29" t="s">
        <v>551</v>
      </c>
      <c r="H16" s="9" t="s">
        <v>18</v>
      </c>
      <c r="I16" s="28" t="s">
        <v>19</v>
      </c>
      <c r="J16" s="82" t="s">
        <v>729</v>
      </c>
      <c r="K16" s="18" t="s">
        <v>3446</v>
      </c>
      <c r="L16" s="128"/>
      <c r="M16" s="128" t="s">
        <v>3445</v>
      </c>
      <c r="N16" s="3">
        <v>816</v>
      </c>
      <c r="P16" s="18"/>
      <c r="Q16" s="128"/>
      <c r="R16" s="12">
        <v>5</v>
      </c>
    </row>
    <row r="17" spans="1:19" ht="93.75">
      <c r="A17" s="9"/>
      <c r="B17" s="11" t="s">
        <v>1315</v>
      </c>
      <c r="C17" s="10" t="s">
        <v>273</v>
      </c>
      <c r="D17" s="66" t="s">
        <v>731</v>
      </c>
      <c r="E17" s="12"/>
      <c r="F17" s="12">
        <v>1</v>
      </c>
      <c r="G17" s="29" t="s">
        <v>551</v>
      </c>
      <c r="H17" s="9" t="s">
        <v>18</v>
      </c>
      <c r="I17" s="28" t="s">
        <v>19</v>
      </c>
      <c r="J17" s="28" t="s">
        <v>732</v>
      </c>
      <c r="K17" s="18" t="s">
        <v>151</v>
      </c>
      <c r="L17" s="25" t="s">
        <v>1885</v>
      </c>
      <c r="M17" s="25"/>
      <c r="N17" s="3">
        <v>816</v>
      </c>
      <c r="O17" s="3">
        <v>816</v>
      </c>
      <c r="P17" s="3" t="s">
        <v>2119</v>
      </c>
      <c r="R17" s="14"/>
      <c r="S17" s="25"/>
    </row>
    <row r="18" spans="1:19" ht="131.25">
      <c r="A18" s="9"/>
      <c r="B18" s="11" t="s">
        <v>1404</v>
      </c>
      <c r="C18" s="10" t="s">
        <v>1405</v>
      </c>
      <c r="D18" s="66" t="s">
        <v>1406</v>
      </c>
      <c r="E18" s="12"/>
      <c r="F18" s="12">
        <v>3</v>
      </c>
      <c r="G18" s="29" t="s">
        <v>16</v>
      </c>
      <c r="H18" s="9" t="s">
        <v>81</v>
      </c>
      <c r="I18" s="109" t="s">
        <v>1407</v>
      </c>
      <c r="J18" s="28"/>
      <c r="K18" s="18" t="s">
        <v>1408</v>
      </c>
      <c r="L18" s="25"/>
      <c r="M18" s="25" t="s">
        <v>46</v>
      </c>
      <c r="R18" s="25" t="s">
        <v>3146</v>
      </c>
      <c r="S18" s="25"/>
    </row>
    <row r="19" spans="1:19" ht="131.25">
      <c r="A19" s="9"/>
      <c r="B19" s="11" t="s">
        <v>2161</v>
      </c>
      <c r="C19" s="10" t="s">
        <v>2448</v>
      </c>
      <c r="D19" s="189" t="s">
        <v>2583</v>
      </c>
      <c r="E19" s="12"/>
      <c r="F19" s="9" t="s">
        <v>2701</v>
      </c>
      <c r="G19" s="286"/>
      <c r="H19" s="148"/>
      <c r="I19" s="28" t="s">
        <v>2443</v>
      </c>
      <c r="J19" s="28"/>
      <c r="K19" s="18"/>
      <c r="L19" s="120" t="s">
        <v>3371</v>
      </c>
      <c r="M19" s="25"/>
      <c r="N19" s="336" t="s">
        <v>3092</v>
      </c>
      <c r="O19" s="336" t="s">
        <v>3092</v>
      </c>
      <c r="P19" s="336" t="s">
        <v>3092</v>
      </c>
      <c r="Q19" s="336" t="s">
        <v>3092</v>
      </c>
      <c r="R19" s="12">
        <v>4</v>
      </c>
      <c r="S19" s="25"/>
    </row>
    <row r="20" spans="1:19" ht="112.5">
      <c r="A20" s="9"/>
      <c r="B20" s="11" t="s">
        <v>2161</v>
      </c>
      <c r="C20" s="10" t="s">
        <v>2448</v>
      </c>
      <c r="D20" s="189" t="s">
        <v>2703</v>
      </c>
      <c r="E20" s="12"/>
      <c r="F20" s="9" t="s">
        <v>2701</v>
      </c>
      <c r="G20" s="286"/>
      <c r="H20" s="148"/>
      <c r="I20" s="28" t="s">
        <v>571</v>
      </c>
      <c r="J20" s="28"/>
      <c r="K20" s="18"/>
      <c r="L20" s="25"/>
      <c r="M20" s="25"/>
      <c r="N20" s="87" t="s">
        <v>2909</v>
      </c>
      <c r="O20" s="87" t="s">
        <v>2909</v>
      </c>
      <c r="P20" s="87" t="s">
        <v>2909</v>
      </c>
      <c r="Q20" s="87" t="s">
        <v>2909</v>
      </c>
      <c r="R20" s="12" t="s">
        <v>2908</v>
      </c>
      <c r="S20" s="25"/>
    </row>
    <row r="21" spans="1:19" ht="112.5">
      <c r="A21" s="9"/>
      <c r="B21" s="11" t="s">
        <v>2161</v>
      </c>
      <c r="C21" s="10" t="s">
        <v>2448</v>
      </c>
      <c r="D21" s="11" t="s">
        <v>2681</v>
      </c>
      <c r="E21" s="12"/>
      <c r="F21" s="9"/>
      <c r="G21" s="286"/>
      <c r="H21" s="148"/>
      <c r="I21" s="28"/>
      <c r="J21" s="28"/>
      <c r="K21" s="14">
        <v>45990</v>
      </c>
      <c r="L21" s="25"/>
      <c r="M21" s="25"/>
      <c r="N21" s="87"/>
      <c r="O21" s="87"/>
      <c r="P21" s="87"/>
      <c r="Q21" s="87"/>
      <c r="R21" s="15"/>
      <c r="S21" s="25"/>
    </row>
    <row r="22" spans="1:19" ht="112.5">
      <c r="A22" s="9"/>
      <c r="B22" s="11" t="s">
        <v>2161</v>
      </c>
      <c r="C22" s="10" t="s">
        <v>2448</v>
      </c>
      <c r="D22" s="189" t="s">
        <v>2643</v>
      </c>
      <c r="E22" s="12"/>
      <c r="F22" s="9"/>
      <c r="G22" s="286"/>
      <c r="H22" s="148"/>
      <c r="I22" s="28"/>
      <c r="J22" s="28"/>
      <c r="K22" s="18"/>
      <c r="L22" s="25"/>
      <c r="M22" s="25"/>
      <c r="N22" s="87"/>
      <c r="O22" s="87"/>
      <c r="P22" s="87"/>
      <c r="Q22" s="87"/>
      <c r="R22" s="15"/>
      <c r="S22" s="25"/>
    </row>
    <row r="23" spans="1:19" ht="324" customHeight="1">
      <c r="A23" s="9"/>
      <c r="B23" s="10" t="s">
        <v>1430</v>
      </c>
      <c r="C23" s="10" t="s">
        <v>1503</v>
      </c>
      <c r="D23" s="11" t="s">
        <v>2142</v>
      </c>
      <c r="E23" s="12"/>
      <c r="F23" s="12"/>
      <c r="G23" s="179" t="s">
        <v>16</v>
      </c>
      <c r="H23" s="165" t="s">
        <v>81</v>
      </c>
      <c r="I23" s="13" t="s">
        <v>55</v>
      </c>
      <c r="J23" s="13"/>
      <c r="K23" s="14">
        <v>45575</v>
      </c>
      <c r="L23" s="25" t="s">
        <v>1006</v>
      </c>
      <c r="R23" s="162" t="s">
        <v>2263</v>
      </c>
    </row>
    <row r="24" spans="1:19" ht="141.75" customHeight="1">
      <c r="A24" s="13">
        <v>7</v>
      </c>
      <c r="B24" s="11" t="s">
        <v>1316</v>
      </c>
      <c r="C24" s="11" t="s">
        <v>720</v>
      </c>
      <c r="D24" s="66" t="s">
        <v>1040</v>
      </c>
      <c r="E24" s="12" t="s">
        <v>887</v>
      </c>
      <c r="F24" s="12" t="s">
        <v>2701</v>
      </c>
      <c r="G24" s="29" t="s">
        <v>16</v>
      </c>
      <c r="H24" s="9" t="s">
        <v>734</v>
      </c>
      <c r="I24" s="28" t="s">
        <v>420</v>
      </c>
      <c r="J24" s="28" t="s">
        <v>721</v>
      </c>
      <c r="K24" s="18" t="s">
        <v>1862</v>
      </c>
      <c r="L24" s="25" t="s">
        <v>1520</v>
      </c>
      <c r="M24" s="25" t="s">
        <v>1520</v>
      </c>
      <c r="N24" s="3" t="s">
        <v>423</v>
      </c>
      <c r="O24" s="3" t="s">
        <v>423</v>
      </c>
      <c r="P24" s="3" t="s">
        <v>423</v>
      </c>
      <c r="Q24" s="3" t="s">
        <v>423</v>
      </c>
    </row>
    <row r="25" spans="1:19" ht="131.25">
      <c r="A25" s="13"/>
      <c r="B25" s="11" t="s">
        <v>1020</v>
      </c>
      <c r="C25" s="11" t="s">
        <v>1021</v>
      </c>
      <c r="D25" s="66" t="s">
        <v>1022</v>
      </c>
      <c r="E25" s="12"/>
      <c r="F25" s="12"/>
      <c r="G25" s="29" t="s">
        <v>16</v>
      </c>
      <c r="H25" s="9" t="s">
        <v>96</v>
      </c>
      <c r="I25" s="28" t="s">
        <v>420</v>
      </c>
      <c r="J25" s="28"/>
      <c r="K25" s="18" t="s">
        <v>1017</v>
      </c>
      <c r="M25" s="25" t="s">
        <v>46</v>
      </c>
    </row>
    <row r="26" spans="1:19" ht="93.75">
      <c r="A26" s="13">
        <v>9</v>
      </c>
      <c r="B26" s="11" t="s">
        <v>1317</v>
      </c>
      <c r="C26" s="11" t="s">
        <v>2522</v>
      </c>
      <c r="D26" s="188" t="s">
        <v>1092</v>
      </c>
      <c r="E26" s="12">
        <v>5</v>
      </c>
      <c r="F26" s="9" t="s">
        <v>85</v>
      </c>
      <c r="G26" s="29" t="s">
        <v>16</v>
      </c>
      <c r="H26" s="33" t="s">
        <v>43</v>
      </c>
      <c r="I26" s="28" t="s">
        <v>564</v>
      </c>
      <c r="J26" s="71">
        <v>6503626424</v>
      </c>
      <c r="K26" s="18" t="s">
        <v>2518</v>
      </c>
      <c r="L26" s="20" t="s">
        <v>1074</v>
      </c>
      <c r="M26" s="20" t="s">
        <v>1074</v>
      </c>
      <c r="N26" s="3">
        <v>816</v>
      </c>
      <c r="O26" s="3">
        <v>816</v>
      </c>
      <c r="P26" s="3">
        <v>816</v>
      </c>
    </row>
    <row r="27" spans="1:19" ht="93.75">
      <c r="A27" s="13"/>
      <c r="B27" s="11" t="s">
        <v>1602</v>
      </c>
      <c r="C27" s="11" t="s">
        <v>1603</v>
      </c>
      <c r="D27" s="188" t="s">
        <v>1604</v>
      </c>
      <c r="E27" s="12"/>
      <c r="F27" s="9">
        <v>3</v>
      </c>
      <c r="G27" s="29" t="s">
        <v>16</v>
      </c>
      <c r="H27" s="9" t="s">
        <v>96</v>
      </c>
      <c r="I27" s="88" t="s">
        <v>1470</v>
      </c>
      <c r="J27" s="71"/>
      <c r="K27" s="18" t="s">
        <v>1599</v>
      </c>
      <c r="L27" s="20" t="s">
        <v>1557</v>
      </c>
      <c r="M27" s="20"/>
      <c r="O27" s="3">
        <v>816</v>
      </c>
      <c r="P27" s="3">
        <v>816</v>
      </c>
      <c r="R27" s="3" t="s">
        <v>3186</v>
      </c>
    </row>
    <row r="28" spans="1:19" ht="93.75">
      <c r="A28" s="13"/>
      <c r="B28" s="11" t="s">
        <v>1318</v>
      </c>
      <c r="C28" s="11" t="s">
        <v>230</v>
      </c>
      <c r="D28" s="66" t="s">
        <v>735</v>
      </c>
      <c r="E28" s="12"/>
      <c r="F28" s="9">
        <v>1</v>
      </c>
      <c r="G28" s="29" t="s">
        <v>16</v>
      </c>
      <c r="H28" s="33" t="s">
        <v>43</v>
      </c>
      <c r="I28" s="28" t="s">
        <v>19</v>
      </c>
      <c r="J28" s="71" t="s">
        <v>231</v>
      </c>
      <c r="K28" s="14" t="s">
        <v>736</v>
      </c>
      <c r="M28" s="15" t="s">
        <v>1557</v>
      </c>
      <c r="N28" s="3">
        <v>816</v>
      </c>
      <c r="O28" s="3">
        <v>816</v>
      </c>
    </row>
    <row r="29" spans="1:19" ht="112.5">
      <c r="A29" s="9"/>
      <c r="B29" s="11" t="s">
        <v>2271</v>
      </c>
      <c r="C29" s="11" t="s">
        <v>217</v>
      </c>
      <c r="D29" s="10" t="s">
        <v>2272</v>
      </c>
      <c r="E29" s="13"/>
      <c r="F29" s="13"/>
      <c r="G29" s="9" t="s">
        <v>16</v>
      </c>
      <c r="H29" s="33" t="s">
        <v>43</v>
      </c>
      <c r="I29" s="26" t="s">
        <v>571</v>
      </c>
      <c r="J29" s="71" t="s">
        <v>218</v>
      </c>
      <c r="K29" s="18" t="s">
        <v>1905</v>
      </c>
      <c r="L29" s="20" t="s">
        <v>1859</v>
      </c>
      <c r="M29" s="20" t="s">
        <v>1859</v>
      </c>
      <c r="N29" s="3">
        <v>816</v>
      </c>
      <c r="O29" s="3">
        <v>816</v>
      </c>
      <c r="P29" s="3">
        <v>816</v>
      </c>
      <c r="Q29" s="45"/>
      <c r="R29" s="3" t="s">
        <v>3177</v>
      </c>
    </row>
    <row r="30" spans="1:19" ht="75">
      <c r="A30" s="13">
        <v>11</v>
      </c>
      <c r="B30" s="11" t="s">
        <v>3062</v>
      </c>
      <c r="C30" s="10" t="s">
        <v>3063</v>
      </c>
      <c r="D30" s="10" t="s">
        <v>3066</v>
      </c>
      <c r="E30" s="13">
        <v>5</v>
      </c>
      <c r="F30" s="13">
        <v>3</v>
      </c>
      <c r="G30" s="9" t="s">
        <v>16</v>
      </c>
      <c r="H30" s="9" t="s">
        <v>96</v>
      </c>
      <c r="I30" s="28" t="s">
        <v>737</v>
      </c>
      <c r="J30" s="16" t="s">
        <v>120</v>
      </c>
      <c r="K30" s="18" t="s">
        <v>1728</v>
      </c>
      <c r="L30" s="20" t="s">
        <v>3002</v>
      </c>
      <c r="M30" s="20" t="s">
        <v>3002</v>
      </c>
      <c r="N30" s="3">
        <v>816</v>
      </c>
      <c r="O30" s="3">
        <v>816</v>
      </c>
      <c r="P30" s="3">
        <v>816</v>
      </c>
      <c r="Q30" s="3">
        <v>816</v>
      </c>
    </row>
    <row r="31" spans="1:19" ht="93.75">
      <c r="A31" s="9"/>
      <c r="B31" s="11" t="s">
        <v>1319</v>
      </c>
      <c r="C31" s="11" t="s">
        <v>2274</v>
      </c>
      <c r="D31" s="10" t="s">
        <v>2275</v>
      </c>
      <c r="E31" s="13"/>
      <c r="F31" s="13">
        <v>1</v>
      </c>
      <c r="G31" s="9" t="s">
        <v>16</v>
      </c>
      <c r="H31" s="9" t="s">
        <v>96</v>
      </c>
      <c r="I31" s="26" t="s">
        <v>572</v>
      </c>
      <c r="J31" s="16" t="s">
        <v>738</v>
      </c>
      <c r="K31" s="18" t="s">
        <v>2036</v>
      </c>
      <c r="L31" s="19" t="s">
        <v>2000</v>
      </c>
      <c r="M31" s="20"/>
      <c r="N31" s="3">
        <v>816</v>
      </c>
      <c r="R31" s="162" t="s">
        <v>2537</v>
      </c>
    </row>
    <row r="32" spans="1:19" ht="93.75">
      <c r="A32" s="13"/>
      <c r="B32" s="11" t="s">
        <v>1538</v>
      </c>
      <c r="C32" s="11" t="s">
        <v>1539</v>
      </c>
      <c r="D32" s="10" t="s">
        <v>1540</v>
      </c>
      <c r="E32" s="13"/>
      <c r="F32" s="9"/>
      <c r="G32" s="9" t="s">
        <v>16</v>
      </c>
      <c r="H32" s="9" t="s">
        <v>96</v>
      </c>
      <c r="I32" s="26" t="s">
        <v>571</v>
      </c>
      <c r="J32" s="16"/>
      <c r="K32" s="18" t="s">
        <v>1532</v>
      </c>
      <c r="M32" s="25" t="s">
        <v>924</v>
      </c>
    </row>
    <row r="33" spans="1:18" ht="112.5">
      <c r="A33" s="13"/>
      <c r="B33" s="62" t="s">
        <v>1763</v>
      </c>
      <c r="C33" s="10" t="s">
        <v>2503</v>
      </c>
      <c r="D33" s="10" t="s">
        <v>2506</v>
      </c>
      <c r="E33" s="13"/>
      <c r="F33" s="9">
        <v>3</v>
      </c>
      <c r="G33" s="9" t="s">
        <v>16</v>
      </c>
      <c r="H33" s="9" t="s">
        <v>96</v>
      </c>
      <c r="I33" s="26" t="s">
        <v>572</v>
      </c>
      <c r="J33" s="16" t="s">
        <v>739</v>
      </c>
      <c r="K33" s="18" t="s">
        <v>2505</v>
      </c>
      <c r="L33" s="25"/>
      <c r="M33" s="25" t="s">
        <v>1634</v>
      </c>
      <c r="N33" s="3">
        <v>816</v>
      </c>
      <c r="P33" s="3">
        <v>816</v>
      </c>
      <c r="R33" s="13" t="s">
        <v>3204</v>
      </c>
    </row>
    <row r="34" spans="1:18" ht="112.5">
      <c r="A34" s="13"/>
      <c r="B34" s="107" t="s">
        <v>1320</v>
      </c>
      <c r="C34" s="136" t="s">
        <v>681</v>
      </c>
      <c r="D34" s="10" t="s">
        <v>727</v>
      </c>
      <c r="E34" s="13"/>
      <c r="F34" s="9">
        <v>3</v>
      </c>
      <c r="G34" s="9" t="s">
        <v>16</v>
      </c>
      <c r="H34" s="9" t="s">
        <v>96</v>
      </c>
      <c r="I34" s="26" t="s">
        <v>572</v>
      </c>
      <c r="J34" s="16" t="s">
        <v>683</v>
      </c>
      <c r="K34" s="14">
        <v>44809</v>
      </c>
      <c r="L34" s="97" t="s">
        <v>118</v>
      </c>
      <c r="M34" s="98"/>
      <c r="N34" s="3">
        <v>816</v>
      </c>
      <c r="O34" s="3" t="s">
        <v>740</v>
      </c>
    </row>
    <row r="35" spans="1:18" ht="93.75">
      <c r="A35" s="13"/>
      <c r="B35" s="11" t="s">
        <v>1321</v>
      </c>
      <c r="C35" s="10" t="s">
        <v>64</v>
      </c>
      <c r="D35" s="10" t="s">
        <v>961</v>
      </c>
      <c r="E35" s="13"/>
      <c r="F35" s="9"/>
      <c r="G35" s="9"/>
      <c r="H35" s="9" t="s">
        <v>81</v>
      </c>
      <c r="I35" s="17" t="s">
        <v>55</v>
      </c>
      <c r="J35" s="48" t="s">
        <v>67</v>
      </c>
      <c r="K35" s="18" t="s">
        <v>68</v>
      </c>
      <c r="L35" s="25" t="s">
        <v>69</v>
      </c>
      <c r="M35" s="25"/>
      <c r="N35" s="3" t="s">
        <v>733</v>
      </c>
      <c r="R35" s="99" t="s">
        <v>2293</v>
      </c>
    </row>
    <row r="36" spans="1:18" ht="112.5">
      <c r="A36" s="13"/>
      <c r="B36" s="107" t="s">
        <v>1431</v>
      </c>
      <c r="C36" s="136" t="s">
        <v>2714</v>
      </c>
      <c r="D36" s="10" t="s">
        <v>2716</v>
      </c>
      <c r="E36" s="13"/>
      <c r="F36" s="9">
        <v>3</v>
      </c>
      <c r="G36" s="9" t="s">
        <v>16</v>
      </c>
      <c r="H36" s="9" t="s">
        <v>96</v>
      </c>
      <c r="I36" s="109" t="s">
        <v>225</v>
      </c>
      <c r="J36" s="16" t="s">
        <v>529</v>
      </c>
      <c r="K36" s="18" t="s">
        <v>2713</v>
      </c>
      <c r="L36" s="346" t="s">
        <v>2034</v>
      </c>
      <c r="M36" s="346" t="s">
        <v>2034</v>
      </c>
      <c r="N36" s="3">
        <v>816</v>
      </c>
      <c r="P36" s="3">
        <v>816</v>
      </c>
      <c r="R36" s="3" t="s">
        <v>3347</v>
      </c>
    </row>
    <row r="37" spans="1:18" ht="131.25">
      <c r="A37" s="13"/>
      <c r="B37" s="11" t="s">
        <v>2192</v>
      </c>
      <c r="C37" s="11" t="s">
        <v>2473</v>
      </c>
      <c r="D37" s="10" t="s">
        <v>2195</v>
      </c>
      <c r="E37" s="13"/>
      <c r="F37" s="9">
        <v>3</v>
      </c>
      <c r="G37" s="9"/>
      <c r="H37" s="9"/>
      <c r="I37" s="26" t="s">
        <v>571</v>
      </c>
      <c r="J37" s="16"/>
      <c r="K37" s="18" t="s">
        <v>2194</v>
      </c>
      <c r="L37" s="25" t="s">
        <v>1543</v>
      </c>
      <c r="M37" s="20"/>
      <c r="P37" s="3">
        <v>816</v>
      </c>
      <c r="R37" s="327" t="s">
        <v>3053</v>
      </c>
    </row>
    <row r="38" spans="1:18" ht="69" customHeight="1">
      <c r="A38" s="9">
        <v>14</v>
      </c>
      <c r="B38" s="10" t="s">
        <v>1783</v>
      </c>
      <c r="C38" s="10" t="s">
        <v>364</v>
      </c>
      <c r="D38" s="10" t="s">
        <v>742</v>
      </c>
      <c r="E38" s="13"/>
      <c r="F38" s="9">
        <v>3</v>
      </c>
      <c r="G38" s="9" t="s">
        <v>16</v>
      </c>
      <c r="H38" s="9" t="s">
        <v>43</v>
      </c>
      <c r="I38" s="26" t="s">
        <v>572</v>
      </c>
      <c r="J38" s="16" t="s">
        <v>743</v>
      </c>
      <c r="K38" s="18" t="s">
        <v>314</v>
      </c>
      <c r="L38" s="25" t="s">
        <v>1784</v>
      </c>
      <c r="M38" s="25"/>
      <c r="N38" s="3">
        <v>816</v>
      </c>
      <c r="P38" s="3">
        <v>816</v>
      </c>
      <c r="R38" s="3" t="s">
        <v>3180</v>
      </c>
    </row>
    <row r="39" spans="1:18" ht="69" customHeight="1">
      <c r="A39" s="9"/>
      <c r="B39" s="10" t="s">
        <v>2103</v>
      </c>
      <c r="C39" s="10" t="s">
        <v>2104</v>
      </c>
      <c r="D39" s="10" t="s">
        <v>2105</v>
      </c>
      <c r="E39" s="13"/>
      <c r="F39" s="9">
        <v>3</v>
      </c>
      <c r="G39" s="9" t="s">
        <v>16</v>
      </c>
      <c r="H39" s="9"/>
      <c r="I39" s="28" t="s">
        <v>2088</v>
      </c>
      <c r="J39" s="16"/>
      <c r="K39" s="18" t="s">
        <v>2084</v>
      </c>
      <c r="L39" s="25" t="s">
        <v>1864</v>
      </c>
      <c r="M39" s="25"/>
      <c r="P39" s="3">
        <v>816</v>
      </c>
      <c r="R39" s="99" t="s">
        <v>3179</v>
      </c>
    </row>
    <row r="40" spans="1:18" ht="150">
      <c r="A40" s="9"/>
      <c r="B40" s="11" t="s">
        <v>1737</v>
      </c>
      <c r="C40" s="10" t="s">
        <v>745</v>
      </c>
      <c r="D40" s="32" t="s">
        <v>746</v>
      </c>
      <c r="E40" s="12"/>
      <c r="F40" s="12">
        <v>3</v>
      </c>
      <c r="G40" s="12" t="s">
        <v>16</v>
      </c>
      <c r="H40" s="33" t="s">
        <v>301</v>
      </c>
      <c r="I40" s="17" t="s">
        <v>19</v>
      </c>
      <c r="J40" s="26" t="s">
        <v>302</v>
      </c>
      <c r="K40" s="18" t="s">
        <v>1735</v>
      </c>
      <c r="L40" s="25"/>
      <c r="M40" s="25" t="s">
        <v>1634</v>
      </c>
      <c r="N40" s="3">
        <v>816</v>
      </c>
      <c r="P40" s="3">
        <v>816</v>
      </c>
      <c r="R40" s="12" t="s">
        <v>3144</v>
      </c>
    </row>
    <row r="41" spans="1:18" ht="165" customHeight="1">
      <c r="A41" s="13">
        <v>15</v>
      </c>
      <c r="B41" s="11" t="s">
        <v>3359</v>
      </c>
      <c r="C41" s="11" t="s">
        <v>3358</v>
      </c>
      <c r="D41" s="66" t="s">
        <v>3378</v>
      </c>
      <c r="E41" s="13">
        <v>5</v>
      </c>
      <c r="F41" s="9" t="s">
        <v>85</v>
      </c>
      <c r="G41" s="34" t="s">
        <v>255</v>
      </c>
      <c r="H41" s="13" t="s">
        <v>43</v>
      </c>
      <c r="I41" s="26" t="s">
        <v>564</v>
      </c>
      <c r="J41" s="30" t="s">
        <v>256</v>
      </c>
      <c r="K41" s="18" t="s">
        <v>3373</v>
      </c>
      <c r="L41" s="84" t="s">
        <v>3226</v>
      </c>
      <c r="M41" s="84" t="s">
        <v>3226</v>
      </c>
      <c r="N41" s="3">
        <v>816</v>
      </c>
      <c r="O41" s="99" t="s">
        <v>3379</v>
      </c>
      <c r="P41" s="3">
        <v>816</v>
      </c>
      <c r="R41" s="13">
        <v>5</v>
      </c>
    </row>
    <row r="42" spans="1:18" ht="165" customHeight="1">
      <c r="A42" s="13"/>
      <c r="B42" s="11" t="s">
        <v>932</v>
      </c>
      <c r="C42" s="10" t="s">
        <v>933</v>
      </c>
      <c r="D42" s="66" t="s">
        <v>934</v>
      </c>
      <c r="E42" s="13"/>
      <c r="F42" s="9">
        <v>3</v>
      </c>
      <c r="G42" s="34" t="s">
        <v>311</v>
      </c>
      <c r="H42" s="13" t="s">
        <v>96</v>
      </c>
      <c r="I42" s="28" t="s">
        <v>679</v>
      </c>
      <c r="J42" s="30" t="s">
        <v>935</v>
      </c>
      <c r="K42" s="18" t="s">
        <v>1925</v>
      </c>
      <c r="L42" s="84" t="s">
        <v>1885</v>
      </c>
      <c r="M42" s="84" t="s">
        <v>1885</v>
      </c>
      <c r="N42" s="3">
        <v>816</v>
      </c>
      <c r="O42" s="3">
        <v>816</v>
      </c>
      <c r="P42" s="3">
        <v>816</v>
      </c>
      <c r="R42" s="3" t="s">
        <v>3428</v>
      </c>
    </row>
    <row r="43" spans="1:18" ht="165" customHeight="1">
      <c r="A43" s="13"/>
      <c r="B43" s="11" t="s">
        <v>1323</v>
      </c>
      <c r="C43" s="10" t="s">
        <v>1564</v>
      </c>
      <c r="D43" s="188" t="s">
        <v>747</v>
      </c>
      <c r="E43" s="13"/>
      <c r="F43" s="9">
        <v>2</v>
      </c>
      <c r="G43" s="34" t="s">
        <v>311</v>
      </c>
      <c r="H43" s="13" t="s">
        <v>96</v>
      </c>
      <c r="I43" s="109" t="s">
        <v>225</v>
      </c>
      <c r="J43" s="30" t="s">
        <v>748</v>
      </c>
      <c r="K43" s="18" t="s">
        <v>1858</v>
      </c>
      <c r="L43" s="25" t="s">
        <v>1859</v>
      </c>
      <c r="M43" s="25" t="s">
        <v>1860</v>
      </c>
      <c r="N43" s="3">
        <v>816</v>
      </c>
      <c r="O43" s="3">
        <v>816</v>
      </c>
      <c r="P43" s="3">
        <v>816</v>
      </c>
      <c r="R43" s="3" t="s">
        <v>3179</v>
      </c>
    </row>
    <row r="44" spans="1:18" ht="88.5" customHeight="1">
      <c r="A44" s="9">
        <v>16</v>
      </c>
      <c r="B44" s="11" t="s">
        <v>1324</v>
      </c>
      <c r="C44" s="10" t="s">
        <v>52</v>
      </c>
      <c r="D44" s="66" t="s">
        <v>1705</v>
      </c>
      <c r="E44" s="12"/>
      <c r="F44" s="37"/>
      <c r="G44" s="29" t="s">
        <v>190</v>
      </c>
      <c r="H44" s="34" t="s">
        <v>54</v>
      </c>
      <c r="I44" s="38" t="s">
        <v>571</v>
      </c>
      <c r="J44" s="28" t="s">
        <v>56</v>
      </c>
      <c r="K44" s="18" t="s">
        <v>174</v>
      </c>
      <c r="L44" s="25" t="s">
        <v>58</v>
      </c>
      <c r="M44" s="25"/>
      <c r="N44" s="3">
        <v>816</v>
      </c>
      <c r="O44" s="3">
        <v>816</v>
      </c>
    </row>
    <row r="45" spans="1:18" s="294" customFormat="1" ht="88.5" customHeight="1">
      <c r="A45" s="288"/>
      <c r="B45" s="107" t="s">
        <v>1920</v>
      </c>
      <c r="C45" s="296" t="s">
        <v>937</v>
      </c>
      <c r="D45" s="296" t="s">
        <v>1094</v>
      </c>
      <c r="E45" s="201"/>
      <c r="F45" s="297">
        <v>3</v>
      </c>
      <c r="G45" s="290" t="s">
        <v>311</v>
      </c>
      <c r="H45" s="287" t="s">
        <v>96</v>
      </c>
      <c r="I45" s="292" t="s">
        <v>679</v>
      </c>
      <c r="J45" s="292"/>
      <c r="K45" s="298" t="s">
        <v>1914</v>
      </c>
      <c r="L45" s="27" t="s">
        <v>1864</v>
      </c>
      <c r="M45" s="299"/>
      <c r="P45" s="294">
        <v>816</v>
      </c>
      <c r="Q45" s="324"/>
      <c r="R45" s="294" t="s">
        <v>3368</v>
      </c>
    </row>
    <row r="46" spans="1:18" ht="68.25" customHeight="1">
      <c r="A46" s="9"/>
      <c r="B46" s="40" t="s">
        <v>1145</v>
      </c>
      <c r="C46" s="41" t="s">
        <v>2116</v>
      </c>
      <c r="D46" s="66" t="s">
        <v>750</v>
      </c>
      <c r="E46" s="12"/>
      <c r="F46" s="37">
        <v>3</v>
      </c>
      <c r="G46" s="29" t="s">
        <v>190</v>
      </c>
      <c r="H46" s="34" t="s">
        <v>54</v>
      </c>
      <c r="I46" s="88" t="s">
        <v>1491</v>
      </c>
      <c r="J46" s="28" t="s">
        <v>751</v>
      </c>
      <c r="K46" s="191" t="s">
        <v>2117</v>
      </c>
      <c r="L46" s="45" t="s">
        <v>1885</v>
      </c>
      <c r="M46" s="46"/>
      <c r="N46" s="3">
        <v>816</v>
      </c>
      <c r="O46" s="3">
        <v>816</v>
      </c>
      <c r="P46" s="3">
        <v>816</v>
      </c>
      <c r="R46" s="3" t="s">
        <v>3204</v>
      </c>
    </row>
    <row r="47" spans="1:18" ht="105.75" customHeight="1">
      <c r="A47" s="9">
        <v>18</v>
      </c>
      <c r="B47" s="11" t="s">
        <v>1325</v>
      </c>
      <c r="C47" s="11" t="s">
        <v>752</v>
      </c>
      <c r="D47" s="66" t="s">
        <v>2190</v>
      </c>
      <c r="E47" s="12"/>
      <c r="F47" s="12">
        <v>4</v>
      </c>
      <c r="G47" s="29" t="s">
        <v>16</v>
      </c>
      <c r="H47" s="9" t="s">
        <v>201</v>
      </c>
      <c r="I47" s="28" t="s">
        <v>19</v>
      </c>
      <c r="J47" s="82" t="s">
        <v>753</v>
      </c>
      <c r="K47" s="14">
        <v>44481</v>
      </c>
      <c r="L47" s="19" t="s">
        <v>1773</v>
      </c>
      <c r="M47" s="20"/>
      <c r="N47" s="3">
        <v>816</v>
      </c>
      <c r="O47" s="3">
        <v>816</v>
      </c>
      <c r="Q47" s="3">
        <v>816</v>
      </c>
      <c r="R47" s="12" t="s">
        <v>3144</v>
      </c>
    </row>
    <row r="48" spans="1:18" ht="131.25">
      <c r="A48" s="9"/>
      <c r="B48" s="62" t="s">
        <v>1326</v>
      </c>
      <c r="C48" s="11" t="s">
        <v>106</v>
      </c>
      <c r="D48" s="66" t="s">
        <v>754</v>
      </c>
      <c r="E48" s="12"/>
      <c r="F48" s="12">
        <v>3</v>
      </c>
      <c r="G48" s="29" t="s">
        <v>16</v>
      </c>
      <c r="H48" s="9" t="s">
        <v>201</v>
      </c>
      <c r="I48" s="88" t="s">
        <v>1470</v>
      </c>
      <c r="J48" s="58" t="s">
        <v>107</v>
      </c>
      <c r="K48" s="14">
        <v>44420</v>
      </c>
      <c r="L48" s="19" t="s">
        <v>108</v>
      </c>
      <c r="M48" s="20"/>
      <c r="N48" s="3" t="s">
        <v>733</v>
      </c>
      <c r="O48" s="3">
        <v>816</v>
      </c>
      <c r="P48" s="3">
        <v>816</v>
      </c>
      <c r="R48" s="3" t="s">
        <v>1072</v>
      </c>
    </row>
    <row r="49" spans="1:19" ht="93.75">
      <c r="A49" s="13">
        <v>19</v>
      </c>
      <c r="B49" s="11" t="s">
        <v>2382</v>
      </c>
      <c r="C49" s="10" t="s">
        <v>2383</v>
      </c>
      <c r="D49" s="66" t="s">
        <v>2386</v>
      </c>
      <c r="E49" s="12">
        <v>4</v>
      </c>
      <c r="F49" s="12">
        <v>1</v>
      </c>
      <c r="G49" s="29" t="s">
        <v>16</v>
      </c>
      <c r="H49" s="9" t="s">
        <v>81</v>
      </c>
      <c r="I49" s="24" t="s">
        <v>2385</v>
      </c>
      <c r="J49" s="28" t="s">
        <v>755</v>
      </c>
      <c r="K49" s="18" t="s">
        <v>2378</v>
      </c>
      <c r="L49" s="25" t="s">
        <v>1871</v>
      </c>
      <c r="M49" s="25" t="s">
        <v>1871</v>
      </c>
      <c r="N49" s="3" t="s">
        <v>816</v>
      </c>
    </row>
    <row r="50" spans="1:19" ht="150">
      <c r="A50" s="13"/>
      <c r="B50" s="11" t="s">
        <v>1388</v>
      </c>
      <c r="C50" s="11" t="s">
        <v>167</v>
      </c>
      <c r="D50" s="66" t="s">
        <v>756</v>
      </c>
      <c r="E50" s="12"/>
      <c r="F50" s="12">
        <v>2</v>
      </c>
      <c r="G50" s="29" t="s">
        <v>16</v>
      </c>
      <c r="H50" s="9" t="s">
        <v>201</v>
      </c>
      <c r="I50" s="88" t="s">
        <v>1504</v>
      </c>
      <c r="J50" s="82" t="s">
        <v>168</v>
      </c>
      <c r="K50" s="67" t="s">
        <v>1387</v>
      </c>
      <c r="M50" s="19" t="s">
        <v>540</v>
      </c>
      <c r="N50" s="3">
        <v>816</v>
      </c>
      <c r="O50" s="3">
        <v>816</v>
      </c>
      <c r="R50" s="162" t="s">
        <v>2548</v>
      </c>
    </row>
    <row r="51" spans="1:19" ht="74.25" customHeight="1">
      <c r="A51" s="9">
        <v>20</v>
      </c>
      <c r="B51" s="11" t="s">
        <v>1392</v>
      </c>
      <c r="C51" s="11" t="s">
        <v>757</v>
      </c>
      <c r="D51" s="66" t="s">
        <v>758</v>
      </c>
      <c r="E51" s="12"/>
      <c r="F51" s="12">
        <v>2</v>
      </c>
      <c r="G51" s="29" t="s">
        <v>16</v>
      </c>
      <c r="H51" s="9" t="s">
        <v>201</v>
      </c>
      <c r="I51" s="28" t="s">
        <v>51</v>
      </c>
      <c r="J51" s="28" t="s">
        <v>759</v>
      </c>
      <c r="K51" s="18" t="s">
        <v>1587</v>
      </c>
      <c r="L51" s="25"/>
      <c r="M51" s="25" t="s">
        <v>1588</v>
      </c>
      <c r="N51" s="3">
        <v>816</v>
      </c>
      <c r="O51" s="3">
        <v>816</v>
      </c>
      <c r="R51" s="12" t="s">
        <v>3262</v>
      </c>
    </row>
    <row r="52" spans="1:19" ht="74.25" customHeight="1">
      <c r="A52" s="9"/>
      <c r="B52" s="11" t="s">
        <v>2025</v>
      </c>
      <c r="C52" s="11" t="s">
        <v>2026</v>
      </c>
      <c r="D52" s="66" t="s">
        <v>2027</v>
      </c>
      <c r="E52" s="12"/>
      <c r="F52" s="12">
        <v>2</v>
      </c>
      <c r="G52" s="29" t="s">
        <v>16</v>
      </c>
      <c r="H52" s="9" t="s">
        <v>2028</v>
      </c>
      <c r="I52" s="28" t="s">
        <v>2029</v>
      </c>
      <c r="J52" s="28"/>
      <c r="K52" s="18" t="s">
        <v>2030</v>
      </c>
      <c r="L52" s="25" t="s">
        <v>1864</v>
      </c>
      <c r="M52" s="25"/>
      <c r="O52" s="3">
        <v>816</v>
      </c>
      <c r="R52" s="12" t="s">
        <v>3204</v>
      </c>
    </row>
    <row r="53" spans="1:19" ht="56.25">
      <c r="A53" s="13">
        <v>23</v>
      </c>
      <c r="B53" s="11" t="s">
        <v>1327</v>
      </c>
      <c r="C53" s="11" t="s">
        <v>760</v>
      </c>
      <c r="D53" s="66" t="s">
        <v>761</v>
      </c>
      <c r="E53" s="12"/>
      <c r="F53" s="12">
        <v>2</v>
      </c>
      <c r="G53" s="29" t="s">
        <v>16</v>
      </c>
      <c r="H53" s="9" t="s">
        <v>201</v>
      </c>
      <c r="I53" s="28" t="s">
        <v>51</v>
      </c>
      <c r="J53" s="28" t="s">
        <v>762</v>
      </c>
      <c r="K53" s="18" t="s">
        <v>1727</v>
      </c>
      <c r="L53" s="35" t="s">
        <v>1634</v>
      </c>
      <c r="M53" s="36"/>
      <c r="N53" s="3">
        <v>816</v>
      </c>
      <c r="O53" s="3">
        <v>816</v>
      </c>
      <c r="R53" s="162" t="s">
        <v>2673</v>
      </c>
    </row>
    <row r="54" spans="1:19" ht="131.25">
      <c r="A54" s="9">
        <v>24</v>
      </c>
      <c r="B54" s="11" t="s">
        <v>1910</v>
      </c>
      <c r="C54" s="11" t="s">
        <v>1911</v>
      </c>
      <c r="D54" s="11" t="s">
        <v>1912</v>
      </c>
      <c r="E54" s="12"/>
      <c r="F54" s="29"/>
      <c r="G54" s="29" t="s">
        <v>16</v>
      </c>
      <c r="H54" s="9" t="s">
        <v>81</v>
      </c>
      <c r="I54" s="28" t="s">
        <v>55</v>
      </c>
      <c r="J54" s="71">
        <v>6503631998</v>
      </c>
      <c r="K54" s="76" t="s">
        <v>2032</v>
      </c>
      <c r="L54" s="54" t="s">
        <v>1898</v>
      </c>
      <c r="M54" s="77" t="s">
        <v>80</v>
      </c>
      <c r="N54" s="3">
        <v>816</v>
      </c>
    </row>
    <row r="55" spans="1:19" ht="93.75">
      <c r="A55" s="13">
        <v>25</v>
      </c>
      <c r="B55" s="11" t="s">
        <v>3313</v>
      </c>
      <c r="C55" s="11" t="s">
        <v>3314</v>
      </c>
      <c r="D55" s="11" t="s">
        <v>3315</v>
      </c>
      <c r="E55" s="13">
        <v>5</v>
      </c>
      <c r="F55" s="13">
        <v>1</v>
      </c>
      <c r="G55" s="29" t="s">
        <v>16</v>
      </c>
      <c r="H55" s="9" t="s">
        <v>201</v>
      </c>
      <c r="I55" s="28" t="s">
        <v>51</v>
      </c>
      <c r="J55" s="26" t="s">
        <v>477</v>
      </c>
      <c r="K55" s="366" t="s">
        <v>3280</v>
      </c>
      <c r="L55" s="361" t="s">
        <v>1730</v>
      </c>
      <c r="M55" s="361" t="s">
        <v>1730</v>
      </c>
      <c r="N55" s="3">
        <v>816</v>
      </c>
      <c r="R55" s="13">
        <v>5</v>
      </c>
    </row>
    <row r="56" spans="1:19" s="131" customFormat="1" ht="131.25">
      <c r="A56" s="234"/>
      <c r="B56" s="235" t="s">
        <v>1664</v>
      </c>
      <c r="C56" s="235" t="s">
        <v>1665</v>
      </c>
      <c r="D56" s="256" t="s">
        <v>1666</v>
      </c>
      <c r="E56" s="244"/>
      <c r="F56" s="244">
        <v>4</v>
      </c>
      <c r="G56" s="246" t="s">
        <v>16</v>
      </c>
      <c r="H56" s="237" t="s">
        <v>81</v>
      </c>
      <c r="I56" s="269" t="s">
        <v>1943</v>
      </c>
      <c r="J56" s="241"/>
      <c r="K56" s="242" t="s">
        <v>1661</v>
      </c>
      <c r="L56" s="254" t="s">
        <v>1613</v>
      </c>
      <c r="M56" s="268"/>
      <c r="Q56" s="131">
        <v>816</v>
      </c>
      <c r="R56" s="131" t="s">
        <v>2094</v>
      </c>
    </row>
    <row r="57" spans="1:19" ht="243.75">
      <c r="A57" s="9">
        <v>26</v>
      </c>
      <c r="B57" s="11" t="s">
        <v>3342</v>
      </c>
      <c r="C57" s="11" t="s">
        <v>3343</v>
      </c>
      <c r="D57" s="126" t="s">
        <v>3344</v>
      </c>
      <c r="E57" s="12">
        <v>5</v>
      </c>
      <c r="F57" s="12">
        <v>4</v>
      </c>
      <c r="G57" s="29" t="s">
        <v>16</v>
      </c>
      <c r="H57" s="9" t="s">
        <v>201</v>
      </c>
      <c r="I57" s="28" t="s">
        <v>723</v>
      </c>
      <c r="J57" s="28" t="s">
        <v>763</v>
      </c>
      <c r="K57" s="18" t="s">
        <v>3340</v>
      </c>
      <c r="L57" s="19" t="s">
        <v>3341</v>
      </c>
      <c r="M57" s="19" t="s">
        <v>2054</v>
      </c>
      <c r="N57" s="99" t="s">
        <v>3345</v>
      </c>
      <c r="Q57" s="3" t="s">
        <v>1453</v>
      </c>
      <c r="R57" s="99" t="s">
        <v>3269</v>
      </c>
    </row>
    <row r="58" spans="1:19" ht="70.5" customHeight="1">
      <c r="A58" s="9"/>
      <c r="B58" s="11" t="s">
        <v>3104</v>
      </c>
      <c r="C58" s="11" t="s">
        <v>3101</v>
      </c>
      <c r="D58" s="126" t="s">
        <v>3105</v>
      </c>
      <c r="E58" s="12">
        <v>5</v>
      </c>
      <c r="F58" s="9">
        <v>2</v>
      </c>
      <c r="G58" s="29" t="s">
        <v>16</v>
      </c>
      <c r="H58" s="9" t="s">
        <v>201</v>
      </c>
      <c r="I58" s="28" t="s">
        <v>564</v>
      </c>
      <c r="J58" s="28" t="s">
        <v>764</v>
      </c>
      <c r="K58" s="18" t="s">
        <v>3099</v>
      </c>
      <c r="L58" s="20" t="s">
        <v>3103</v>
      </c>
      <c r="M58" s="20" t="s">
        <v>3103</v>
      </c>
      <c r="N58" s="3">
        <v>816</v>
      </c>
      <c r="O58" s="3">
        <v>816</v>
      </c>
      <c r="Q58" s="3">
        <v>816</v>
      </c>
      <c r="R58" s="162" t="s">
        <v>2778</v>
      </c>
      <c r="S58" s="330" t="s">
        <v>2238</v>
      </c>
    </row>
    <row r="59" spans="1:19" ht="158.25" customHeight="1">
      <c r="A59" s="13">
        <v>27</v>
      </c>
      <c r="B59" s="11" t="s">
        <v>3337</v>
      </c>
      <c r="C59" s="11" t="s">
        <v>3338</v>
      </c>
      <c r="D59" s="126" t="s">
        <v>3344</v>
      </c>
      <c r="E59" s="12">
        <v>5</v>
      </c>
      <c r="F59" s="12">
        <v>4</v>
      </c>
      <c r="G59" s="29" t="s">
        <v>16</v>
      </c>
      <c r="H59" s="9" t="s">
        <v>201</v>
      </c>
      <c r="I59" s="28" t="s">
        <v>723</v>
      </c>
      <c r="J59" s="28" t="s">
        <v>763</v>
      </c>
      <c r="K59" s="18" t="s">
        <v>3340</v>
      </c>
      <c r="L59" s="19" t="s">
        <v>3341</v>
      </c>
      <c r="M59" s="19" t="s">
        <v>2054</v>
      </c>
      <c r="N59" s="99" t="s">
        <v>3345</v>
      </c>
      <c r="Q59" s="3" t="s">
        <v>1453</v>
      </c>
      <c r="R59" s="99" t="s">
        <v>3269</v>
      </c>
    </row>
    <row r="60" spans="1:19" ht="93.75">
      <c r="A60" s="13">
        <v>29</v>
      </c>
      <c r="B60" s="11" t="s">
        <v>1429</v>
      </c>
      <c r="C60" s="10" t="s">
        <v>2731</v>
      </c>
      <c r="D60" s="11" t="s">
        <v>2732</v>
      </c>
      <c r="E60" s="12"/>
      <c r="F60" s="13">
        <v>4</v>
      </c>
      <c r="G60" s="29" t="s">
        <v>16</v>
      </c>
      <c r="H60" s="9" t="s">
        <v>81</v>
      </c>
      <c r="I60" s="17" t="s">
        <v>19</v>
      </c>
      <c r="J60" s="30" t="s">
        <v>327</v>
      </c>
      <c r="K60" s="14">
        <v>45979</v>
      </c>
      <c r="L60" s="18" t="s">
        <v>1717</v>
      </c>
      <c r="M60" s="19" t="s">
        <v>1375</v>
      </c>
      <c r="N60" s="3">
        <v>816</v>
      </c>
      <c r="Q60" s="3">
        <v>816</v>
      </c>
      <c r="R60" s="37" t="s">
        <v>3029</v>
      </c>
    </row>
    <row r="61" spans="1:19" ht="150">
      <c r="A61" s="13"/>
      <c r="B61" s="62" t="s">
        <v>1393</v>
      </c>
      <c r="C61" s="62" t="s">
        <v>988</v>
      </c>
      <c r="D61" s="11" t="s">
        <v>991</v>
      </c>
      <c r="E61" s="12"/>
      <c r="F61" s="13">
        <v>1</v>
      </c>
      <c r="G61" s="29" t="s">
        <v>16</v>
      </c>
      <c r="H61" s="9" t="s">
        <v>81</v>
      </c>
      <c r="I61" s="17" t="s">
        <v>19</v>
      </c>
      <c r="J61" s="30"/>
      <c r="K61" s="14"/>
      <c r="M61" s="25" t="s">
        <v>92</v>
      </c>
      <c r="N61" s="3">
        <v>816</v>
      </c>
      <c r="R61" s="162" t="s">
        <v>2778</v>
      </c>
    </row>
    <row r="62" spans="1:19" ht="112.5">
      <c r="A62" s="9">
        <v>30</v>
      </c>
      <c r="B62" s="11" t="s">
        <v>1384</v>
      </c>
      <c r="C62" s="10" t="s">
        <v>1437</v>
      </c>
      <c r="D62" s="11" t="s">
        <v>1438</v>
      </c>
      <c r="E62" s="12"/>
      <c r="F62" s="13">
        <v>4</v>
      </c>
      <c r="G62" s="37" t="s">
        <v>110</v>
      </c>
      <c r="H62" s="9" t="s">
        <v>81</v>
      </c>
      <c r="I62" s="17" t="s">
        <v>19</v>
      </c>
      <c r="J62" s="64">
        <v>6503652738</v>
      </c>
      <c r="K62" s="18" t="s">
        <v>1435</v>
      </c>
      <c r="L62" s="20" t="s">
        <v>1375</v>
      </c>
      <c r="M62" s="20"/>
      <c r="N62" s="3">
        <v>816</v>
      </c>
      <c r="Q62" s="3">
        <v>816</v>
      </c>
      <c r="R62" s="162" t="s">
        <v>2206</v>
      </c>
    </row>
    <row r="63" spans="1:19" ht="92.25" customHeight="1">
      <c r="A63" s="9"/>
      <c r="B63" s="11" t="s">
        <v>1328</v>
      </c>
      <c r="C63" s="10" t="s">
        <v>2771</v>
      </c>
      <c r="D63" s="11" t="s">
        <v>2775</v>
      </c>
      <c r="E63" s="12"/>
      <c r="F63" s="9">
        <v>2.4</v>
      </c>
      <c r="G63" s="29" t="s">
        <v>16</v>
      </c>
      <c r="H63" s="9" t="s">
        <v>81</v>
      </c>
      <c r="I63" s="17" t="s">
        <v>571</v>
      </c>
      <c r="J63" s="26" t="s">
        <v>765</v>
      </c>
      <c r="K63" s="14">
        <v>45990</v>
      </c>
      <c r="L63" s="186" t="s">
        <v>1717</v>
      </c>
      <c r="M63" s="20"/>
      <c r="N63" s="99" t="s">
        <v>946</v>
      </c>
      <c r="O63" s="99" t="s">
        <v>946</v>
      </c>
      <c r="P63" s="99" t="s">
        <v>946</v>
      </c>
      <c r="Q63" s="99" t="s">
        <v>946</v>
      </c>
      <c r="R63" s="3" t="s">
        <v>1662</v>
      </c>
    </row>
    <row r="64" spans="1:19" s="131" customFormat="1" ht="93.75">
      <c r="A64" s="237"/>
      <c r="B64" s="11" t="s">
        <v>1383</v>
      </c>
      <c r="C64" s="10" t="s">
        <v>2351</v>
      </c>
      <c r="D64" s="11" t="s">
        <v>2330</v>
      </c>
      <c r="E64" s="12">
        <v>5</v>
      </c>
      <c r="F64" s="13">
        <v>4</v>
      </c>
      <c r="G64" s="37" t="s">
        <v>192</v>
      </c>
      <c r="H64" s="9" t="s">
        <v>81</v>
      </c>
      <c r="I64" s="24" t="s">
        <v>19</v>
      </c>
      <c r="J64" s="26" t="s">
        <v>90</v>
      </c>
      <c r="K64" s="18" t="s">
        <v>2350</v>
      </c>
      <c r="L64" s="25" t="s">
        <v>2214</v>
      </c>
      <c r="M64" s="25" t="s">
        <v>2214</v>
      </c>
      <c r="N64" s="3">
        <v>816</v>
      </c>
      <c r="O64" s="3"/>
      <c r="P64" s="3"/>
      <c r="Q64" s="3">
        <v>816</v>
      </c>
      <c r="S64" s="131" t="s">
        <v>2189</v>
      </c>
    </row>
    <row r="65" spans="1:18" ht="206.25">
      <c r="A65" s="9"/>
      <c r="B65" s="11" t="s">
        <v>1721</v>
      </c>
      <c r="C65" s="11" t="s">
        <v>1722</v>
      </c>
      <c r="D65" s="11" t="s">
        <v>3209</v>
      </c>
      <c r="E65" s="12"/>
      <c r="F65" s="13"/>
      <c r="G65" s="29" t="s">
        <v>16</v>
      </c>
      <c r="H65" s="9" t="s">
        <v>81</v>
      </c>
      <c r="I65" s="24" t="s">
        <v>571</v>
      </c>
      <c r="J65" s="26"/>
      <c r="K65" s="18" t="s">
        <v>1888</v>
      </c>
      <c r="L65" s="25" t="s">
        <v>1889</v>
      </c>
      <c r="M65" s="25" t="s">
        <v>1889</v>
      </c>
    </row>
    <row r="66" spans="1:18" ht="93.75">
      <c r="A66" s="13">
        <v>31</v>
      </c>
      <c r="B66" s="11" t="s">
        <v>1329</v>
      </c>
      <c r="C66" s="10" t="s">
        <v>2739</v>
      </c>
      <c r="D66" s="11" t="s">
        <v>2740</v>
      </c>
      <c r="E66" s="12">
        <v>5</v>
      </c>
      <c r="F66" s="13">
        <v>4</v>
      </c>
      <c r="G66" s="37" t="s">
        <v>192</v>
      </c>
      <c r="H66" s="9" t="s">
        <v>81</v>
      </c>
      <c r="I66" s="9" t="s">
        <v>19</v>
      </c>
      <c r="J66" s="26" t="s">
        <v>532</v>
      </c>
      <c r="K66" s="18" t="s">
        <v>2794</v>
      </c>
      <c r="L66" s="346" t="s">
        <v>2595</v>
      </c>
      <c r="M66" s="346" t="s">
        <v>2595</v>
      </c>
      <c r="N66" s="3">
        <v>816</v>
      </c>
      <c r="Q66" s="3">
        <v>816</v>
      </c>
    </row>
    <row r="67" spans="1:18" ht="78" customHeight="1">
      <c r="A67" s="9">
        <v>34</v>
      </c>
      <c r="B67" s="11" t="s">
        <v>1330</v>
      </c>
      <c r="C67" s="10" t="s">
        <v>271</v>
      </c>
      <c r="D67" s="66" t="s">
        <v>1428</v>
      </c>
      <c r="E67" s="12"/>
      <c r="F67" s="12"/>
      <c r="G67" s="29" t="s">
        <v>16</v>
      </c>
      <c r="H67" s="34" t="s">
        <v>254</v>
      </c>
      <c r="I67" s="28" t="s">
        <v>19</v>
      </c>
      <c r="J67" s="28" t="s">
        <v>766</v>
      </c>
      <c r="K67" s="18" t="s">
        <v>1425</v>
      </c>
      <c r="L67" s="20" t="s">
        <v>1375</v>
      </c>
      <c r="M67" s="20"/>
      <c r="N67" s="3" t="s">
        <v>1825</v>
      </c>
      <c r="O67" s="3" t="s">
        <v>1825</v>
      </c>
      <c r="P67" s="3" t="s">
        <v>1825</v>
      </c>
      <c r="Q67" s="3" t="s">
        <v>1825</v>
      </c>
      <c r="R67" s="99" t="s">
        <v>2700</v>
      </c>
    </row>
    <row r="68" spans="1:18" ht="113.25" customHeight="1">
      <c r="A68" s="13">
        <v>35</v>
      </c>
      <c r="B68" s="11" t="s">
        <v>1615</v>
      </c>
      <c r="C68" s="11" t="s">
        <v>507</v>
      </c>
      <c r="D68" s="11" t="s">
        <v>1617</v>
      </c>
      <c r="E68" s="12"/>
      <c r="F68" s="12"/>
      <c r="G68" s="29" t="s">
        <v>16</v>
      </c>
      <c r="H68" s="33" t="s">
        <v>43</v>
      </c>
      <c r="I68" s="88" t="s">
        <v>1614</v>
      </c>
      <c r="J68" s="28"/>
      <c r="K68" s="18" t="s">
        <v>954</v>
      </c>
      <c r="L68" s="25" t="s">
        <v>951</v>
      </c>
      <c r="N68" s="3" t="s">
        <v>1513</v>
      </c>
      <c r="O68" s="3" t="s">
        <v>1513</v>
      </c>
      <c r="P68" s="3" t="s">
        <v>1513</v>
      </c>
      <c r="Q68" s="3" t="s">
        <v>1513</v>
      </c>
      <c r="R68" s="99" t="s">
        <v>2329</v>
      </c>
    </row>
    <row r="69" spans="1:18" ht="113.25" customHeight="1">
      <c r="A69" s="13"/>
      <c r="B69" s="10" t="s">
        <v>2584</v>
      </c>
      <c r="C69" s="10" t="s">
        <v>3082</v>
      </c>
      <c r="D69" s="151" t="s">
        <v>2694</v>
      </c>
      <c r="E69" s="12"/>
      <c r="F69" s="12" t="s">
        <v>2701</v>
      </c>
      <c r="G69" s="29"/>
      <c r="H69" s="33"/>
      <c r="I69" s="28" t="s">
        <v>19</v>
      </c>
      <c r="J69" s="28"/>
      <c r="K69" s="76" t="s">
        <v>2586</v>
      </c>
      <c r="L69" s="77" t="s">
        <v>2587</v>
      </c>
      <c r="M69" s="15" t="s">
        <v>2135</v>
      </c>
      <c r="N69" s="3" t="s">
        <v>3142</v>
      </c>
      <c r="O69" s="3" t="s">
        <v>3142</v>
      </c>
      <c r="P69" s="3" t="s">
        <v>3142</v>
      </c>
      <c r="Q69" s="3" t="s">
        <v>3142</v>
      </c>
    </row>
    <row r="70" spans="1:18" ht="113.25" customHeight="1">
      <c r="A70" s="13"/>
      <c r="B70" s="11" t="s">
        <v>2137</v>
      </c>
      <c r="C70" s="10" t="s">
        <v>116</v>
      </c>
      <c r="D70" s="11" t="s">
        <v>2138</v>
      </c>
      <c r="E70" s="12"/>
      <c r="F70" s="12"/>
      <c r="G70" s="29"/>
      <c r="H70" s="33"/>
      <c r="I70" s="88" t="s">
        <v>55</v>
      </c>
      <c r="J70" s="28"/>
      <c r="K70" s="18" t="s">
        <v>1010</v>
      </c>
      <c r="L70" s="25" t="s">
        <v>1592</v>
      </c>
      <c r="N70" s="3" t="s">
        <v>2090</v>
      </c>
    </row>
    <row r="71" spans="1:18" ht="150">
      <c r="A71" s="13"/>
      <c r="B71" s="11" t="s">
        <v>1544</v>
      </c>
      <c r="C71" s="11" t="s">
        <v>1545</v>
      </c>
      <c r="D71" s="11" t="s">
        <v>1546</v>
      </c>
      <c r="E71" s="12"/>
      <c r="F71" s="12"/>
      <c r="G71" s="12"/>
      <c r="H71" s="33"/>
      <c r="I71" s="28" t="s">
        <v>571</v>
      </c>
      <c r="J71" s="28"/>
      <c r="K71" s="18" t="s">
        <v>1547</v>
      </c>
      <c r="M71" s="15" t="s">
        <v>749</v>
      </c>
    </row>
    <row r="72" spans="1:18" ht="375">
      <c r="A72" s="9">
        <v>38</v>
      </c>
      <c r="B72" s="11" t="s">
        <v>3129</v>
      </c>
      <c r="C72" s="10" t="s">
        <v>3130</v>
      </c>
      <c r="D72" s="66" t="s">
        <v>2372</v>
      </c>
      <c r="E72" s="12">
        <v>4</v>
      </c>
      <c r="F72" s="13">
        <v>2</v>
      </c>
      <c r="G72" s="29" t="s">
        <v>16</v>
      </c>
      <c r="H72" s="34" t="s">
        <v>78</v>
      </c>
      <c r="I72" s="28" t="s">
        <v>2301</v>
      </c>
      <c r="J72" s="28"/>
      <c r="K72" s="18" t="s">
        <v>3131</v>
      </c>
      <c r="L72" s="25" t="s">
        <v>1676</v>
      </c>
      <c r="M72" s="25" t="s">
        <v>2897</v>
      </c>
      <c r="R72" s="3" t="s">
        <v>3263</v>
      </c>
    </row>
    <row r="73" spans="1:18" ht="409.5">
      <c r="A73" s="13">
        <v>39</v>
      </c>
      <c r="B73" s="11" t="s">
        <v>3452</v>
      </c>
      <c r="C73" s="11" t="s">
        <v>3453</v>
      </c>
      <c r="D73" s="189" t="s">
        <v>3474</v>
      </c>
      <c r="E73" s="13"/>
      <c r="F73" s="9" t="s">
        <v>2701</v>
      </c>
      <c r="G73" s="13"/>
      <c r="H73" s="69" t="s">
        <v>767</v>
      </c>
      <c r="I73" s="28" t="s">
        <v>564</v>
      </c>
      <c r="J73" s="28"/>
      <c r="K73" s="18" t="s">
        <v>3451</v>
      </c>
      <c r="L73" s="123" t="s">
        <v>2565</v>
      </c>
      <c r="M73" s="123" t="s">
        <v>3454</v>
      </c>
      <c r="N73" s="3" t="s">
        <v>1776</v>
      </c>
      <c r="O73" s="3" t="s">
        <v>1776</v>
      </c>
      <c r="P73" s="3" t="s">
        <v>1776</v>
      </c>
      <c r="Q73" s="3" t="s">
        <v>1776</v>
      </c>
      <c r="R73" s="3">
        <f>18676*300</f>
        <v>5602800</v>
      </c>
    </row>
    <row r="74" spans="1:18" ht="112.5">
      <c r="A74" s="13"/>
      <c r="B74" s="11" t="s">
        <v>3452</v>
      </c>
      <c r="C74" s="11" t="s">
        <v>3453</v>
      </c>
      <c r="D74" s="189" t="s">
        <v>2372</v>
      </c>
      <c r="E74" s="13"/>
      <c r="F74" s="9"/>
      <c r="G74" s="13"/>
      <c r="H74" s="69" t="s">
        <v>767</v>
      </c>
      <c r="I74" s="28"/>
      <c r="J74" s="28"/>
      <c r="K74" s="18" t="s">
        <v>3451</v>
      </c>
      <c r="L74" s="127"/>
      <c r="M74" s="123" t="s">
        <v>3454</v>
      </c>
    </row>
    <row r="75" spans="1:18" ht="93.75">
      <c r="A75" s="13">
        <v>33</v>
      </c>
      <c r="B75" s="11" t="s">
        <v>1567</v>
      </c>
      <c r="C75" s="11" t="s">
        <v>2936</v>
      </c>
      <c r="D75" s="11" t="s">
        <v>2935</v>
      </c>
      <c r="E75" s="12">
        <v>5</v>
      </c>
      <c r="F75" s="13">
        <v>3</v>
      </c>
      <c r="G75" s="29"/>
      <c r="H75" s="33"/>
      <c r="I75" s="28" t="s">
        <v>2314</v>
      </c>
      <c r="J75" s="28"/>
      <c r="K75" s="18" t="s">
        <v>2934</v>
      </c>
      <c r="L75" s="25"/>
      <c r="M75" s="25" t="s">
        <v>2858</v>
      </c>
      <c r="O75" s="3">
        <v>816</v>
      </c>
      <c r="P75" s="3">
        <v>816</v>
      </c>
      <c r="R75" s="12" t="s">
        <v>3169</v>
      </c>
    </row>
    <row r="76" spans="1:18" ht="140.25" customHeight="1">
      <c r="A76" s="13"/>
      <c r="B76" s="11" t="s">
        <v>1442</v>
      </c>
      <c r="C76" s="10" t="s">
        <v>2752</v>
      </c>
      <c r="D76" s="11" t="s">
        <v>1443</v>
      </c>
      <c r="E76" s="12">
        <v>5</v>
      </c>
      <c r="F76" s="9">
        <v>1</v>
      </c>
      <c r="G76" s="37" t="s">
        <v>192</v>
      </c>
      <c r="H76" s="34" t="s">
        <v>81</v>
      </c>
      <c r="I76" s="28" t="s">
        <v>768</v>
      </c>
      <c r="J76" s="71" t="s">
        <v>769</v>
      </c>
      <c r="K76" s="18" t="s">
        <v>924</v>
      </c>
      <c r="L76" s="18" t="s">
        <v>1717</v>
      </c>
      <c r="M76" s="25"/>
      <c r="N76" s="3">
        <v>816</v>
      </c>
    </row>
    <row r="77" spans="1:18" ht="75">
      <c r="A77" s="13"/>
      <c r="B77" s="11" t="s">
        <v>1331</v>
      </c>
      <c r="C77" s="11" t="s">
        <v>220</v>
      </c>
      <c r="D77" s="11" t="s">
        <v>771</v>
      </c>
      <c r="E77" s="9"/>
      <c r="F77" s="9">
        <v>1</v>
      </c>
      <c r="G77" s="9" t="s">
        <v>16</v>
      </c>
      <c r="H77" s="118" t="s">
        <v>96</v>
      </c>
      <c r="I77" s="9" t="s">
        <v>51</v>
      </c>
      <c r="J77" s="71" t="s">
        <v>772</v>
      </c>
      <c r="K77" s="14" t="s">
        <v>773</v>
      </c>
      <c r="L77" s="25" t="s">
        <v>21</v>
      </c>
      <c r="M77" s="25"/>
      <c r="N77" s="3">
        <v>816</v>
      </c>
      <c r="R77" s="3" t="s">
        <v>1132</v>
      </c>
    </row>
    <row r="78" spans="1:18" ht="93.75">
      <c r="A78" s="13"/>
      <c r="B78" s="62" t="s">
        <v>962</v>
      </c>
      <c r="C78" s="11" t="s">
        <v>963</v>
      </c>
      <c r="D78" s="11" t="s">
        <v>771</v>
      </c>
      <c r="E78" s="9"/>
      <c r="F78" s="9"/>
      <c r="G78" s="9" t="s">
        <v>16</v>
      </c>
      <c r="H78" s="118" t="s">
        <v>96</v>
      </c>
      <c r="I78" s="75" t="s">
        <v>985</v>
      </c>
      <c r="J78" s="71"/>
      <c r="K78" s="18" t="s">
        <v>1708</v>
      </c>
      <c r="L78" s="25" t="s">
        <v>1709</v>
      </c>
      <c r="M78" s="25"/>
      <c r="N78" s="3">
        <v>816</v>
      </c>
      <c r="Q78" s="3">
        <v>816</v>
      </c>
      <c r="R78" s="3" t="s">
        <v>2204</v>
      </c>
    </row>
    <row r="79" spans="1:18" ht="93.75">
      <c r="A79" s="13"/>
      <c r="B79" s="62" t="s">
        <v>1967</v>
      </c>
      <c r="C79" s="62" t="s">
        <v>1968</v>
      </c>
      <c r="D79" s="11" t="s">
        <v>1969</v>
      </c>
      <c r="E79" s="9"/>
      <c r="F79" s="9"/>
      <c r="G79" s="9" t="s">
        <v>16</v>
      </c>
      <c r="H79" s="118" t="s">
        <v>96</v>
      </c>
      <c r="I79" s="75" t="s">
        <v>1970</v>
      </c>
      <c r="J79" s="71"/>
      <c r="K79" s="18">
        <v>45575</v>
      </c>
      <c r="L79" s="25" t="s">
        <v>1095</v>
      </c>
      <c r="M79" s="25"/>
      <c r="R79" s="99" t="s">
        <v>2536</v>
      </c>
    </row>
    <row r="80" spans="1:18" ht="150">
      <c r="A80" s="13"/>
      <c r="B80" s="62" t="s">
        <v>1510</v>
      </c>
      <c r="C80" s="62" t="s">
        <v>1511</v>
      </c>
      <c r="D80" s="11" t="s">
        <v>2096</v>
      </c>
      <c r="E80" s="9"/>
      <c r="F80" s="9">
        <v>4</v>
      </c>
      <c r="G80" s="9" t="s">
        <v>16</v>
      </c>
      <c r="H80" s="118" t="s">
        <v>96</v>
      </c>
      <c r="I80" s="75" t="s">
        <v>1455</v>
      </c>
      <c r="J80" s="71"/>
      <c r="K80" s="18" t="s">
        <v>2095</v>
      </c>
      <c r="L80" s="25" t="s">
        <v>2085</v>
      </c>
      <c r="M80" s="25" t="s">
        <v>2085</v>
      </c>
      <c r="Q80" s="3">
        <v>816</v>
      </c>
      <c r="R80" s="99" t="s">
        <v>3347</v>
      </c>
    </row>
    <row r="81" spans="1:18" ht="112.5">
      <c r="A81" s="13"/>
      <c r="B81" s="93" t="s">
        <v>2963</v>
      </c>
      <c r="C81" s="62" t="s">
        <v>2964</v>
      </c>
      <c r="D81" s="31" t="s">
        <v>2965</v>
      </c>
      <c r="E81" s="9">
        <v>5</v>
      </c>
      <c r="F81" s="9">
        <v>1</v>
      </c>
      <c r="G81" s="9" t="s">
        <v>16</v>
      </c>
      <c r="H81" s="118" t="s">
        <v>96</v>
      </c>
      <c r="I81" s="9" t="s">
        <v>51</v>
      </c>
      <c r="J81" s="26" t="s">
        <v>394</v>
      </c>
      <c r="K81" s="18" t="s">
        <v>2956</v>
      </c>
      <c r="L81" s="20" t="s">
        <v>2726</v>
      </c>
      <c r="M81" s="20" t="s">
        <v>2726</v>
      </c>
      <c r="N81" s="3">
        <v>816</v>
      </c>
      <c r="R81" s="162" t="s">
        <v>2778</v>
      </c>
    </row>
    <row r="82" spans="1:18" s="294" customFormat="1" ht="56.25">
      <c r="A82" s="287"/>
      <c r="B82" s="107" t="s">
        <v>1332</v>
      </c>
      <c r="C82" s="107" t="s">
        <v>216</v>
      </c>
      <c r="D82" s="107" t="s">
        <v>1038</v>
      </c>
      <c r="E82" s="201"/>
      <c r="F82" s="288"/>
      <c r="G82" s="289" t="s">
        <v>16</v>
      </c>
      <c r="H82" s="290" t="s">
        <v>43</v>
      </c>
      <c r="I82" s="291" t="s">
        <v>420</v>
      </c>
      <c r="J82" s="292" t="s">
        <v>774</v>
      </c>
      <c r="K82" s="293" t="s">
        <v>1858</v>
      </c>
      <c r="L82" s="20" t="s">
        <v>1859</v>
      </c>
      <c r="M82" s="20" t="s">
        <v>1859</v>
      </c>
      <c r="N82" s="294">
        <v>816</v>
      </c>
      <c r="P82" s="294">
        <v>816</v>
      </c>
      <c r="R82" s="294" t="s">
        <v>3177</v>
      </c>
    </row>
    <row r="83" spans="1:18" ht="112.5">
      <c r="A83" s="13"/>
      <c r="B83" s="11" t="s">
        <v>1333</v>
      </c>
      <c r="C83" s="11" t="s">
        <v>775</v>
      </c>
      <c r="D83" s="11" t="s">
        <v>776</v>
      </c>
      <c r="E83" s="12"/>
      <c r="F83" s="9">
        <v>3</v>
      </c>
      <c r="G83" s="29" t="s">
        <v>16</v>
      </c>
      <c r="H83" s="34" t="s">
        <v>81</v>
      </c>
      <c r="I83" s="28" t="s">
        <v>768</v>
      </c>
      <c r="J83" s="28" t="s">
        <v>777</v>
      </c>
      <c r="K83" s="14">
        <v>44511</v>
      </c>
      <c r="L83" s="45" t="s">
        <v>730</v>
      </c>
      <c r="M83" s="20"/>
      <c r="N83" s="3">
        <v>816</v>
      </c>
      <c r="P83" s="3" t="s">
        <v>973</v>
      </c>
    </row>
    <row r="84" spans="1:18" ht="93.75">
      <c r="A84" s="13"/>
      <c r="B84" s="11" t="s">
        <v>1334</v>
      </c>
      <c r="C84" s="11" t="s">
        <v>555</v>
      </c>
      <c r="D84" s="11" t="s">
        <v>778</v>
      </c>
      <c r="E84" s="12"/>
      <c r="F84" s="9">
        <v>1</v>
      </c>
      <c r="G84" s="29" t="s">
        <v>779</v>
      </c>
      <c r="H84" s="9" t="s">
        <v>96</v>
      </c>
      <c r="I84" s="88" t="s">
        <v>1468</v>
      </c>
      <c r="J84" s="28" t="s">
        <v>780</v>
      </c>
      <c r="K84" s="18" t="s">
        <v>1770</v>
      </c>
      <c r="L84" s="25" t="s">
        <v>1731</v>
      </c>
      <c r="M84" s="25"/>
      <c r="N84" s="3">
        <v>816</v>
      </c>
      <c r="R84" s="12" t="s">
        <v>3144</v>
      </c>
    </row>
    <row r="85" spans="1:18" ht="112.5">
      <c r="A85" s="13"/>
      <c r="B85" s="11" t="s">
        <v>1335</v>
      </c>
      <c r="C85" s="10" t="s">
        <v>781</v>
      </c>
      <c r="D85" s="11" t="s">
        <v>782</v>
      </c>
      <c r="E85" s="12"/>
      <c r="F85" s="37">
        <v>2</v>
      </c>
      <c r="G85" s="29" t="s">
        <v>16</v>
      </c>
      <c r="H85" s="9" t="s">
        <v>96</v>
      </c>
      <c r="I85" s="28" t="s">
        <v>420</v>
      </c>
      <c r="J85" s="26" t="s">
        <v>425</v>
      </c>
      <c r="K85" s="14">
        <v>44267</v>
      </c>
      <c r="L85" s="25" t="s">
        <v>189</v>
      </c>
      <c r="M85" s="25" t="s">
        <v>1864</v>
      </c>
      <c r="N85" s="3" t="s">
        <v>172</v>
      </c>
      <c r="R85" s="3" t="s">
        <v>3348</v>
      </c>
    </row>
    <row r="86" spans="1:18" ht="112.5">
      <c r="A86" s="13"/>
      <c r="B86" s="11" t="s">
        <v>1336</v>
      </c>
      <c r="C86" s="10" t="s">
        <v>2755</v>
      </c>
      <c r="D86" s="11" t="s">
        <v>2756</v>
      </c>
      <c r="E86" s="12"/>
      <c r="F86" s="37">
        <v>4</v>
      </c>
      <c r="G86" s="37" t="s">
        <v>192</v>
      </c>
      <c r="H86" s="9" t="s">
        <v>96</v>
      </c>
      <c r="I86" s="9" t="s">
        <v>19</v>
      </c>
      <c r="J86" s="26" t="s">
        <v>466</v>
      </c>
      <c r="K86" s="18" t="s">
        <v>924</v>
      </c>
      <c r="L86" s="18"/>
      <c r="M86" s="18" t="s">
        <v>1717</v>
      </c>
      <c r="N86" s="3">
        <v>816</v>
      </c>
      <c r="Q86" s="3">
        <v>816</v>
      </c>
      <c r="R86" s="12" t="s">
        <v>2987</v>
      </c>
    </row>
    <row r="87" spans="1:18" ht="93.75">
      <c r="A87" s="13"/>
      <c r="B87" s="11" t="s">
        <v>1337</v>
      </c>
      <c r="C87" s="10" t="s">
        <v>2607</v>
      </c>
      <c r="D87" s="32" t="s">
        <v>2608</v>
      </c>
      <c r="E87" s="12"/>
      <c r="F87" s="37"/>
      <c r="G87" s="29" t="s">
        <v>190</v>
      </c>
      <c r="H87" s="9" t="s">
        <v>96</v>
      </c>
      <c r="I87" s="88" t="s">
        <v>420</v>
      </c>
      <c r="J87" s="26" t="s">
        <v>97</v>
      </c>
      <c r="K87" s="18" t="s">
        <v>80</v>
      </c>
      <c r="L87" s="25" t="s">
        <v>2379</v>
      </c>
      <c r="M87" s="25" t="s">
        <v>2379</v>
      </c>
      <c r="N87" s="3">
        <v>816</v>
      </c>
    </row>
    <row r="88" spans="1:18" ht="131.25">
      <c r="A88" s="9"/>
      <c r="B88" s="11" t="s">
        <v>1102</v>
      </c>
      <c r="C88" s="11" t="s">
        <v>1103</v>
      </c>
      <c r="D88" s="10" t="s">
        <v>1684</v>
      </c>
      <c r="E88" s="12"/>
      <c r="F88" s="37">
        <v>2</v>
      </c>
      <c r="G88" s="13" t="s">
        <v>16</v>
      </c>
      <c r="H88" s="9" t="s">
        <v>96</v>
      </c>
      <c r="I88" s="28" t="s">
        <v>51</v>
      </c>
      <c r="J88" s="162"/>
      <c r="K88" s="162" t="s">
        <v>1112</v>
      </c>
      <c r="L88" s="25" t="s">
        <v>1095</v>
      </c>
      <c r="M88" s="25"/>
      <c r="O88" s="3">
        <v>816</v>
      </c>
      <c r="R88" s="162" t="s">
        <v>2435</v>
      </c>
    </row>
    <row r="89" spans="1:18" ht="56.25">
      <c r="A89" s="13">
        <v>37</v>
      </c>
      <c r="B89" s="11" t="s">
        <v>1338</v>
      </c>
      <c r="C89" s="11" t="s">
        <v>783</v>
      </c>
      <c r="D89" s="66" t="s">
        <v>784</v>
      </c>
      <c r="E89" s="12"/>
      <c r="F89" s="37">
        <v>4</v>
      </c>
      <c r="G89" s="37" t="s">
        <v>192</v>
      </c>
      <c r="H89" s="9" t="s">
        <v>96</v>
      </c>
      <c r="I89" s="28" t="s">
        <v>19</v>
      </c>
      <c r="J89" s="26" t="s">
        <v>785</v>
      </c>
      <c r="K89" s="67" t="s">
        <v>91</v>
      </c>
      <c r="L89" s="68" t="s">
        <v>92</v>
      </c>
      <c r="M89" s="68"/>
      <c r="N89" s="3">
        <v>816</v>
      </c>
      <c r="O89" s="3">
        <v>5</v>
      </c>
    </row>
    <row r="90" spans="1:18" ht="187.5">
      <c r="A90" s="13"/>
      <c r="B90" s="11" t="s">
        <v>1339</v>
      </c>
      <c r="C90" s="11" t="s">
        <v>786</v>
      </c>
      <c r="D90" s="66" t="s">
        <v>2176</v>
      </c>
      <c r="E90" s="9">
        <v>5</v>
      </c>
      <c r="F90" s="9" t="s">
        <v>2701</v>
      </c>
      <c r="G90" s="13" t="s">
        <v>16</v>
      </c>
      <c r="H90" s="173" t="s">
        <v>43</v>
      </c>
      <c r="I90" s="9" t="s">
        <v>787</v>
      </c>
      <c r="J90" s="9" t="s">
        <v>788</v>
      </c>
      <c r="K90" s="14">
        <v>43969</v>
      </c>
      <c r="L90" s="45" t="s">
        <v>1804</v>
      </c>
      <c r="M90" s="20"/>
      <c r="N90" s="3">
        <v>816</v>
      </c>
      <c r="O90" s="3">
        <v>816</v>
      </c>
      <c r="P90" s="3">
        <v>816</v>
      </c>
      <c r="Q90" s="3">
        <v>816</v>
      </c>
    </row>
    <row r="91" spans="1:18" ht="168.75">
      <c r="A91" s="13"/>
      <c r="B91" s="11" t="s">
        <v>1339</v>
      </c>
      <c r="C91" s="62" t="s">
        <v>907</v>
      </c>
      <c r="D91" s="66" t="s">
        <v>1627</v>
      </c>
      <c r="E91" s="9"/>
      <c r="F91" s="83" t="s">
        <v>917</v>
      </c>
      <c r="G91" s="13" t="s">
        <v>16</v>
      </c>
      <c r="H91" s="173" t="s">
        <v>43</v>
      </c>
      <c r="I91" s="9" t="s">
        <v>787</v>
      </c>
      <c r="J91" s="9" t="s">
        <v>788</v>
      </c>
      <c r="K91" s="14">
        <v>43969</v>
      </c>
      <c r="L91" s="45" t="s">
        <v>1804</v>
      </c>
      <c r="M91" s="20"/>
      <c r="N91" s="99" t="s">
        <v>993</v>
      </c>
      <c r="P91" s="3">
        <v>28360</v>
      </c>
      <c r="R91" s="3" t="s">
        <v>1994</v>
      </c>
    </row>
    <row r="92" spans="1:18" ht="56.25">
      <c r="A92" s="13"/>
      <c r="B92" s="103" t="s">
        <v>2021</v>
      </c>
      <c r="C92" s="103" t="s">
        <v>2022</v>
      </c>
      <c r="D92" s="103" t="s">
        <v>2024</v>
      </c>
      <c r="E92" s="211"/>
      <c r="F92" s="211"/>
      <c r="G92" s="178"/>
      <c r="H92" s="178"/>
      <c r="I92" s="215" t="s">
        <v>55</v>
      </c>
      <c r="J92" s="211"/>
      <c r="K92" s="212">
        <v>45362</v>
      </c>
      <c r="L92" s="15" t="s">
        <v>1074</v>
      </c>
      <c r="M92" s="20"/>
      <c r="N92" s="99"/>
    </row>
    <row r="93" spans="1:18" ht="78.75" customHeight="1">
      <c r="A93" s="13"/>
      <c r="B93" s="11" t="s">
        <v>1340</v>
      </c>
      <c r="C93" s="11" t="s">
        <v>789</v>
      </c>
      <c r="D93" s="142" t="s">
        <v>1688</v>
      </c>
      <c r="E93" s="13"/>
      <c r="F93" s="13">
        <v>2</v>
      </c>
      <c r="G93" s="148" t="s">
        <v>16</v>
      </c>
      <c r="H93" s="69" t="s">
        <v>767</v>
      </c>
      <c r="I93" s="28" t="s">
        <v>19</v>
      </c>
      <c r="J93" s="26" t="s">
        <v>790</v>
      </c>
      <c r="K93" s="18" t="s">
        <v>1866</v>
      </c>
      <c r="L93" s="25" t="s">
        <v>1689</v>
      </c>
      <c r="M93" s="25" t="s">
        <v>1871</v>
      </c>
      <c r="N93" s="3" t="s">
        <v>964</v>
      </c>
    </row>
    <row r="94" spans="1:18" ht="78.75" customHeight="1">
      <c r="A94" s="13"/>
      <c r="B94" s="11" t="s">
        <v>1340</v>
      </c>
      <c r="C94" s="11" t="s">
        <v>789</v>
      </c>
      <c r="D94" s="142" t="s">
        <v>1688</v>
      </c>
      <c r="E94" s="13"/>
      <c r="F94" s="13"/>
      <c r="G94" s="148"/>
      <c r="H94" s="69"/>
      <c r="I94" s="28"/>
      <c r="J94" s="26"/>
      <c r="K94" s="18"/>
      <c r="L94" s="25" t="s">
        <v>1689</v>
      </c>
      <c r="M94" s="25"/>
    </row>
    <row r="95" spans="1:18" ht="78.75" customHeight="1">
      <c r="A95" s="13"/>
      <c r="B95" s="11" t="s">
        <v>1340</v>
      </c>
      <c r="C95" s="11" t="s">
        <v>789</v>
      </c>
      <c r="D95" s="142" t="s">
        <v>3067</v>
      </c>
      <c r="E95" s="13"/>
      <c r="F95" s="13"/>
      <c r="G95" s="148"/>
      <c r="H95" s="69"/>
      <c r="I95" s="28"/>
      <c r="J95" s="26"/>
      <c r="K95" s="25" t="s">
        <v>3068</v>
      </c>
      <c r="L95" s="25"/>
      <c r="M95" s="25"/>
    </row>
    <row r="96" spans="1:18" ht="78.75" customHeight="1">
      <c r="A96" s="13"/>
      <c r="B96" s="10" t="s">
        <v>2273</v>
      </c>
      <c r="C96" s="11" t="s">
        <v>2213</v>
      </c>
      <c r="D96" s="10" t="s">
        <v>2212</v>
      </c>
      <c r="E96" s="300">
        <v>4</v>
      </c>
      <c r="F96" s="37">
        <v>4</v>
      </c>
      <c r="G96" s="37"/>
      <c r="H96" s="9"/>
      <c r="I96" s="28" t="s">
        <v>19</v>
      </c>
      <c r="J96" s="28"/>
      <c r="K96" s="76" t="s">
        <v>1637</v>
      </c>
      <c r="L96" s="25" t="s">
        <v>2214</v>
      </c>
      <c r="M96" s="25" t="s">
        <v>2214</v>
      </c>
      <c r="Q96" s="3" t="s">
        <v>733</v>
      </c>
    </row>
    <row r="97" spans="1:18" ht="78.75" customHeight="1">
      <c r="A97" s="13"/>
      <c r="B97" s="11" t="s">
        <v>1432</v>
      </c>
      <c r="C97" s="11" t="s">
        <v>588</v>
      </c>
      <c r="D97" s="142" t="s">
        <v>994</v>
      </c>
      <c r="E97" s="13"/>
      <c r="F97" s="13"/>
      <c r="G97" s="148"/>
      <c r="H97" s="69"/>
      <c r="I97" s="28"/>
      <c r="J97" s="26"/>
      <c r="K97" s="18" t="s">
        <v>1866</v>
      </c>
      <c r="L97" s="45" t="s">
        <v>1063</v>
      </c>
      <c r="M97" s="15" t="s">
        <v>1863</v>
      </c>
    </row>
    <row r="98" spans="1:18" ht="164.25" customHeight="1">
      <c r="A98" s="13"/>
      <c r="B98" s="11" t="s">
        <v>1747</v>
      </c>
      <c r="C98" s="11" t="s">
        <v>1748</v>
      </c>
      <c r="D98" s="142" t="s">
        <v>1749</v>
      </c>
      <c r="E98" s="13"/>
      <c r="F98" s="13">
        <v>2</v>
      </c>
      <c r="G98" s="148" t="s">
        <v>192</v>
      </c>
      <c r="H98" s="173" t="s">
        <v>96</v>
      </c>
      <c r="I98" s="9" t="s">
        <v>787</v>
      </c>
      <c r="J98" s="26" t="s">
        <v>1750</v>
      </c>
      <c r="K98" s="18" t="s">
        <v>1807</v>
      </c>
      <c r="L98" s="25" t="s">
        <v>1731</v>
      </c>
      <c r="M98" s="25" t="s">
        <v>1731</v>
      </c>
      <c r="O98" s="3">
        <v>816</v>
      </c>
      <c r="R98" s="3" t="s">
        <v>3144</v>
      </c>
    </row>
    <row r="99" spans="1:18" ht="78.75" customHeight="1">
      <c r="A99" s="13"/>
      <c r="B99" s="11" t="s">
        <v>1114</v>
      </c>
      <c r="C99" s="10" t="s">
        <v>1115</v>
      </c>
      <c r="D99" s="142" t="s">
        <v>1116</v>
      </c>
      <c r="E99" s="13"/>
      <c r="F99" s="13"/>
      <c r="G99" s="148" t="s">
        <v>16</v>
      </c>
      <c r="H99" s="173" t="s">
        <v>96</v>
      </c>
      <c r="I99" s="69" t="s">
        <v>767</v>
      </c>
      <c r="J99" s="26"/>
      <c r="K99" s="18" t="s">
        <v>2557</v>
      </c>
      <c r="L99" s="25" t="s">
        <v>2565</v>
      </c>
      <c r="M99" s="25" t="s">
        <v>1878</v>
      </c>
    </row>
    <row r="100" spans="1:18" ht="131.25">
      <c r="A100" s="13"/>
      <c r="B100" s="11" t="s">
        <v>1341</v>
      </c>
      <c r="C100" s="100" t="s">
        <v>950</v>
      </c>
      <c r="D100" s="142" t="s">
        <v>791</v>
      </c>
      <c r="E100" s="13"/>
      <c r="F100" s="13">
        <v>2</v>
      </c>
      <c r="G100" s="148" t="s">
        <v>192</v>
      </c>
      <c r="H100" s="173" t="s">
        <v>96</v>
      </c>
      <c r="I100" s="9" t="s">
        <v>787</v>
      </c>
      <c r="J100" s="82" t="s">
        <v>792</v>
      </c>
      <c r="K100" s="18" t="s">
        <v>91</v>
      </c>
      <c r="L100" s="25" t="s">
        <v>599</v>
      </c>
      <c r="M100" s="25"/>
      <c r="O100" s="3">
        <v>816</v>
      </c>
    </row>
    <row r="101" spans="1:18" ht="78.75" customHeight="1">
      <c r="A101" s="13"/>
      <c r="B101" s="11" t="s">
        <v>1342</v>
      </c>
      <c r="C101" s="10" t="s">
        <v>2177</v>
      </c>
      <c r="D101" s="142" t="s">
        <v>771</v>
      </c>
      <c r="E101" s="13"/>
      <c r="F101" s="13">
        <v>2</v>
      </c>
      <c r="G101" s="148" t="s">
        <v>192</v>
      </c>
      <c r="H101" s="173" t="s">
        <v>96</v>
      </c>
      <c r="I101" s="9" t="s">
        <v>787</v>
      </c>
      <c r="J101" s="28" t="s">
        <v>793</v>
      </c>
      <c r="K101" s="18" t="s">
        <v>1759</v>
      </c>
      <c r="L101" s="20" t="s">
        <v>2085</v>
      </c>
      <c r="M101" s="20"/>
      <c r="N101" s="3">
        <v>816</v>
      </c>
      <c r="O101" s="3">
        <v>816</v>
      </c>
      <c r="Q101" s="3" t="s">
        <v>2178</v>
      </c>
      <c r="R101" s="3" t="s">
        <v>3179</v>
      </c>
    </row>
    <row r="102" spans="1:18" ht="131.25">
      <c r="A102" s="13"/>
      <c r="B102" s="11" t="s">
        <v>1294</v>
      </c>
      <c r="C102" s="10" t="s">
        <v>653</v>
      </c>
      <c r="D102" s="142" t="s">
        <v>794</v>
      </c>
      <c r="E102" s="13"/>
      <c r="F102" s="13">
        <v>2</v>
      </c>
      <c r="G102" s="148" t="s">
        <v>192</v>
      </c>
      <c r="H102" s="173" t="s">
        <v>96</v>
      </c>
      <c r="I102" s="9" t="s">
        <v>787</v>
      </c>
      <c r="J102" s="26" t="s">
        <v>654</v>
      </c>
      <c r="K102" s="18" t="s">
        <v>1374</v>
      </c>
      <c r="L102" s="20" t="s">
        <v>1375</v>
      </c>
      <c r="M102" s="20"/>
      <c r="N102" s="3">
        <v>816</v>
      </c>
      <c r="O102" s="3">
        <v>816</v>
      </c>
      <c r="R102" s="162" t="s">
        <v>2676</v>
      </c>
    </row>
    <row r="103" spans="1:18" ht="93.75">
      <c r="A103" s="13"/>
      <c r="B103" s="62" t="s">
        <v>2635</v>
      </c>
      <c r="C103" s="165" t="s">
        <v>2636</v>
      </c>
      <c r="D103" s="11" t="s">
        <v>1097</v>
      </c>
      <c r="E103" s="12"/>
      <c r="F103" s="12">
        <v>2</v>
      </c>
      <c r="G103" s="148" t="s">
        <v>192</v>
      </c>
      <c r="H103" s="173" t="s">
        <v>96</v>
      </c>
      <c r="I103" s="9" t="s">
        <v>787</v>
      </c>
      <c r="J103" s="30"/>
      <c r="K103" s="18" t="s">
        <v>2671</v>
      </c>
      <c r="L103" s="20" t="s">
        <v>1864</v>
      </c>
      <c r="M103" s="20" t="s">
        <v>305</v>
      </c>
      <c r="O103" s="3">
        <v>816</v>
      </c>
      <c r="R103" s="3" t="s">
        <v>3368</v>
      </c>
    </row>
    <row r="104" spans="1:18" ht="130.5" customHeight="1">
      <c r="A104" s="13"/>
      <c r="B104" s="11" t="s">
        <v>1646</v>
      </c>
      <c r="C104" s="11" t="s">
        <v>795</v>
      </c>
      <c r="D104" s="142" t="s">
        <v>796</v>
      </c>
      <c r="E104" s="13"/>
      <c r="F104" s="13"/>
      <c r="G104" s="148"/>
      <c r="H104" s="69" t="s">
        <v>767</v>
      </c>
      <c r="I104" s="28"/>
      <c r="J104" s="28"/>
      <c r="K104" s="18" t="s">
        <v>1642</v>
      </c>
      <c r="L104" s="35"/>
      <c r="M104" s="25" t="s">
        <v>1634</v>
      </c>
      <c r="N104" s="99" t="s">
        <v>797</v>
      </c>
      <c r="R104" s="3" t="s">
        <v>2990</v>
      </c>
    </row>
    <row r="105" spans="1:18" ht="130.5" customHeight="1">
      <c r="A105" s="13"/>
      <c r="B105" s="11" t="s">
        <v>3003</v>
      </c>
      <c r="C105" s="10" t="s">
        <v>3004</v>
      </c>
      <c r="D105" s="142" t="s">
        <v>1649</v>
      </c>
      <c r="E105" s="13">
        <v>5</v>
      </c>
      <c r="F105" s="13">
        <v>4</v>
      </c>
      <c r="G105" s="148" t="s">
        <v>192</v>
      </c>
      <c r="H105" s="173" t="s">
        <v>96</v>
      </c>
      <c r="I105" s="24" t="s">
        <v>3080</v>
      </c>
      <c r="J105" s="28"/>
      <c r="K105" s="18" t="s">
        <v>3001</v>
      </c>
      <c r="L105" s="25" t="s">
        <v>2558</v>
      </c>
      <c r="M105" s="25" t="s">
        <v>2558</v>
      </c>
      <c r="N105" s="3">
        <v>816</v>
      </c>
      <c r="Q105" s="3">
        <v>816</v>
      </c>
      <c r="R105" s="13">
        <v>5</v>
      </c>
    </row>
    <row r="106" spans="1:18" ht="131.25">
      <c r="A106" s="13"/>
      <c r="B106" s="11" t="s">
        <v>1276</v>
      </c>
      <c r="C106" s="11" t="s">
        <v>594</v>
      </c>
      <c r="D106" s="142" t="s">
        <v>798</v>
      </c>
      <c r="E106" s="13"/>
      <c r="F106" s="13">
        <v>1</v>
      </c>
      <c r="G106" s="148" t="s">
        <v>192</v>
      </c>
      <c r="H106" s="173" t="s">
        <v>96</v>
      </c>
      <c r="I106" s="9" t="s">
        <v>19</v>
      </c>
      <c r="J106" s="28" t="s">
        <v>595</v>
      </c>
      <c r="K106" s="18">
        <v>45638</v>
      </c>
      <c r="L106" s="25" t="s">
        <v>1634</v>
      </c>
      <c r="M106" s="25" t="s">
        <v>1859</v>
      </c>
      <c r="N106" s="3">
        <v>816</v>
      </c>
      <c r="R106" s="3" t="s">
        <v>3095</v>
      </c>
    </row>
    <row r="107" spans="1:18" ht="112.5">
      <c r="A107" s="13"/>
      <c r="B107" s="10" t="s">
        <v>1140</v>
      </c>
      <c r="C107" s="10" t="s">
        <v>799</v>
      </c>
      <c r="D107" s="142" t="s">
        <v>800</v>
      </c>
      <c r="E107" s="13"/>
      <c r="F107" s="13">
        <v>1</v>
      </c>
      <c r="G107" s="148" t="s">
        <v>192</v>
      </c>
      <c r="H107" s="173" t="s">
        <v>96</v>
      </c>
      <c r="I107" s="9" t="s">
        <v>787</v>
      </c>
      <c r="J107" s="28" t="s">
        <v>801</v>
      </c>
      <c r="K107" s="14">
        <v>45575</v>
      </c>
      <c r="L107" s="25" t="s">
        <v>1885</v>
      </c>
      <c r="M107" s="25" t="s">
        <v>1885</v>
      </c>
      <c r="N107" s="3">
        <v>31283</v>
      </c>
      <c r="O107" s="3" t="s">
        <v>952</v>
      </c>
      <c r="R107" s="3" t="s">
        <v>1996</v>
      </c>
    </row>
    <row r="108" spans="1:18" ht="136.5" customHeight="1">
      <c r="A108" s="13"/>
      <c r="B108" s="11" t="s">
        <v>1343</v>
      </c>
      <c r="C108" s="11" t="s">
        <v>573</v>
      </c>
      <c r="D108" s="142" t="s">
        <v>2100</v>
      </c>
      <c r="E108" s="13"/>
      <c r="F108" s="13">
        <v>1</v>
      </c>
      <c r="G108" s="148" t="s">
        <v>192</v>
      </c>
      <c r="H108" s="173" t="s">
        <v>96</v>
      </c>
      <c r="I108" s="24" t="s">
        <v>1468</v>
      </c>
      <c r="J108" s="28" t="s">
        <v>575</v>
      </c>
      <c r="K108" s="14" t="s">
        <v>2095</v>
      </c>
      <c r="L108" s="20" t="s">
        <v>2085</v>
      </c>
      <c r="M108" s="20" t="s">
        <v>2085</v>
      </c>
      <c r="N108" s="3">
        <v>816</v>
      </c>
      <c r="R108" s="3" t="s">
        <v>3437</v>
      </c>
    </row>
    <row r="109" spans="1:18" ht="136.5" customHeight="1">
      <c r="A109" s="13"/>
      <c r="B109" s="11" t="s">
        <v>2664</v>
      </c>
      <c r="C109" s="93" t="s">
        <v>2171</v>
      </c>
      <c r="D109" s="142" t="s">
        <v>2173</v>
      </c>
      <c r="E109" s="9"/>
      <c r="F109" s="9">
        <v>3</v>
      </c>
      <c r="G109" s="12" t="s">
        <v>16</v>
      </c>
      <c r="H109" s="28" t="s">
        <v>96</v>
      </c>
      <c r="I109" s="17" t="s">
        <v>19</v>
      </c>
      <c r="J109" s="113"/>
      <c r="K109" s="18" t="s">
        <v>936</v>
      </c>
      <c r="L109" s="20" t="s">
        <v>1557</v>
      </c>
      <c r="M109" s="20" t="s">
        <v>1557</v>
      </c>
      <c r="N109" s="3">
        <v>816</v>
      </c>
      <c r="P109" s="3">
        <v>816</v>
      </c>
      <c r="R109" s="9" t="s">
        <v>3204</v>
      </c>
    </row>
    <row r="110" spans="1:18" ht="244.5" customHeight="1">
      <c r="A110" s="13"/>
      <c r="B110" s="136" t="s">
        <v>3270</v>
      </c>
      <c r="C110" s="136" t="s">
        <v>3200</v>
      </c>
      <c r="D110" s="136" t="s">
        <v>3203</v>
      </c>
      <c r="E110" s="13"/>
      <c r="F110" s="13" t="s">
        <v>2701</v>
      </c>
      <c r="G110" s="148" t="s">
        <v>16</v>
      </c>
      <c r="H110" s="69" t="s">
        <v>767</v>
      </c>
      <c r="I110" s="17" t="s">
        <v>19</v>
      </c>
      <c r="J110" s="26" t="s">
        <v>39</v>
      </c>
      <c r="K110" s="18" t="s">
        <v>3280</v>
      </c>
      <c r="L110" s="25" t="s">
        <v>2916</v>
      </c>
      <c r="M110" s="25" t="s">
        <v>2916</v>
      </c>
      <c r="N110" s="3" t="s">
        <v>172</v>
      </c>
      <c r="O110" s="3" t="s">
        <v>172</v>
      </c>
      <c r="P110" s="3" t="s">
        <v>172</v>
      </c>
      <c r="Q110" s="3" t="s">
        <v>172</v>
      </c>
      <c r="R110" s="99" t="s">
        <v>3159</v>
      </c>
    </row>
    <row r="111" spans="1:18" ht="150">
      <c r="A111" s="13"/>
      <c r="B111" s="136" t="s">
        <v>3270</v>
      </c>
      <c r="C111" s="136" t="s">
        <v>3200</v>
      </c>
      <c r="D111" s="136" t="s">
        <v>2069</v>
      </c>
      <c r="E111" s="13"/>
      <c r="F111" s="13"/>
      <c r="G111" s="148"/>
      <c r="H111" s="69"/>
      <c r="I111" s="157"/>
      <c r="J111" s="26"/>
      <c r="K111" s="18" t="s">
        <v>3280</v>
      </c>
      <c r="L111" s="25" t="s">
        <v>2916</v>
      </c>
      <c r="M111" s="25"/>
      <c r="R111" s="99"/>
    </row>
    <row r="112" spans="1:18" ht="244.5" customHeight="1">
      <c r="A112" s="13"/>
      <c r="B112" s="136" t="s">
        <v>3270</v>
      </c>
      <c r="C112" s="136" t="s">
        <v>3202</v>
      </c>
      <c r="D112" s="136" t="s">
        <v>3203</v>
      </c>
      <c r="E112" s="13"/>
      <c r="F112" s="13"/>
      <c r="G112" s="148" t="s">
        <v>16</v>
      </c>
      <c r="H112" s="69" t="s">
        <v>767</v>
      </c>
      <c r="I112" s="28"/>
      <c r="J112" s="26" t="s">
        <v>39</v>
      </c>
      <c r="K112" s="18" t="s">
        <v>3280</v>
      </c>
      <c r="L112" s="25" t="s">
        <v>2916</v>
      </c>
      <c r="M112" s="25" t="s">
        <v>2916</v>
      </c>
      <c r="R112" s="99" t="s">
        <v>3159</v>
      </c>
    </row>
    <row r="113" spans="1:18" ht="150">
      <c r="A113" s="13"/>
      <c r="B113" s="136" t="s">
        <v>3270</v>
      </c>
      <c r="C113" s="136" t="s">
        <v>3202</v>
      </c>
      <c r="D113" s="136" t="s">
        <v>2069</v>
      </c>
      <c r="E113" s="13"/>
      <c r="F113" s="13"/>
      <c r="G113" s="148"/>
      <c r="H113" s="69"/>
      <c r="I113" s="157"/>
      <c r="J113" s="26"/>
      <c r="K113" s="18" t="s">
        <v>3280</v>
      </c>
      <c r="L113" s="25" t="s">
        <v>2916</v>
      </c>
      <c r="M113" s="25"/>
      <c r="R113" s="99"/>
    </row>
    <row r="114" spans="1:18" ht="137.25" customHeight="1">
      <c r="A114" s="13"/>
      <c r="B114" s="11" t="s">
        <v>1344</v>
      </c>
      <c r="C114" s="11" t="s">
        <v>2532</v>
      </c>
      <c r="D114" s="111" t="s">
        <v>1505</v>
      </c>
      <c r="E114" s="13"/>
      <c r="F114" s="9" t="s">
        <v>2701</v>
      </c>
      <c r="G114" s="34" t="s">
        <v>416</v>
      </c>
      <c r="H114" s="9" t="s">
        <v>96</v>
      </c>
      <c r="I114" s="28" t="s">
        <v>19</v>
      </c>
      <c r="J114" s="26" t="s">
        <v>803</v>
      </c>
      <c r="K114" s="76" t="s">
        <v>1591</v>
      </c>
      <c r="L114" s="77" t="s">
        <v>1592</v>
      </c>
      <c r="M114" s="25"/>
      <c r="N114" s="99" t="s">
        <v>804</v>
      </c>
    </row>
    <row r="115" spans="1:18" ht="232.5" customHeight="1">
      <c r="A115" s="13"/>
      <c r="B115" s="11" t="s">
        <v>1344</v>
      </c>
      <c r="C115" s="11" t="s">
        <v>2533</v>
      </c>
      <c r="D115" s="111" t="s">
        <v>1597</v>
      </c>
      <c r="E115" s="13"/>
      <c r="F115" s="9"/>
      <c r="G115" s="34" t="s">
        <v>416</v>
      </c>
      <c r="H115" s="9"/>
      <c r="I115" s="28" t="s">
        <v>19</v>
      </c>
      <c r="J115" s="26" t="s">
        <v>803</v>
      </c>
      <c r="K115" s="76" t="s">
        <v>1591</v>
      </c>
      <c r="L115" s="77" t="s">
        <v>1592</v>
      </c>
      <c r="M115" s="25"/>
      <c r="N115" s="99"/>
    </row>
    <row r="116" spans="1:18" ht="232.5" customHeight="1">
      <c r="A116" s="13"/>
      <c r="B116" s="11" t="s">
        <v>1344</v>
      </c>
      <c r="C116" s="11" t="s">
        <v>802</v>
      </c>
      <c r="D116" s="111" t="s">
        <v>2069</v>
      </c>
      <c r="E116" s="13"/>
      <c r="F116" s="9"/>
      <c r="G116" s="34"/>
      <c r="H116" s="9"/>
      <c r="I116" s="28"/>
      <c r="J116" s="26"/>
      <c r="K116" s="76" t="s">
        <v>2084</v>
      </c>
      <c r="L116" s="77" t="s">
        <v>1864</v>
      </c>
      <c r="M116" s="25"/>
      <c r="N116" s="99"/>
      <c r="R116" s="3" t="s">
        <v>3348</v>
      </c>
    </row>
    <row r="117" spans="1:18" ht="232.5" customHeight="1">
      <c r="A117" s="13"/>
      <c r="B117" s="11" t="s">
        <v>1344</v>
      </c>
      <c r="C117" s="11" t="s">
        <v>1596</v>
      </c>
      <c r="D117" s="111" t="s">
        <v>2069</v>
      </c>
      <c r="E117" s="13"/>
      <c r="F117" s="9"/>
      <c r="G117" s="34"/>
      <c r="H117" s="9"/>
      <c r="I117" s="28"/>
      <c r="J117" s="26"/>
      <c r="K117" s="76" t="s">
        <v>2084</v>
      </c>
      <c r="L117" s="77" t="s">
        <v>1864</v>
      </c>
      <c r="M117" s="25"/>
      <c r="N117" s="99"/>
      <c r="R117" s="3" t="s">
        <v>3348</v>
      </c>
    </row>
    <row r="118" spans="1:18" ht="188.25" customHeight="1">
      <c r="A118" s="13"/>
      <c r="B118" s="11" t="s">
        <v>1523</v>
      </c>
      <c r="C118" s="11" t="s">
        <v>1991</v>
      </c>
      <c r="D118" s="142" t="s">
        <v>1992</v>
      </c>
      <c r="E118" s="13"/>
      <c r="F118" s="9">
        <v>2</v>
      </c>
      <c r="G118" s="37" t="s">
        <v>192</v>
      </c>
      <c r="H118" s="9" t="s">
        <v>96</v>
      </c>
      <c r="I118" s="28" t="s">
        <v>19</v>
      </c>
      <c r="J118" s="64">
        <v>6503624221</v>
      </c>
      <c r="K118" s="18" t="s">
        <v>1982</v>
      </c>
      <c r="L118" s="20" t="s">
        <v>1859</v>
      </c>
      <c r="M118" s="20"/>
      <c r="N118" s="3">
        <v>816</v>
      </c>
      <c r="O118" s="3">
        <v>816</v>
      </c>
      <c r="P118" s="3">
        <v>816</v>
      </c>
      <c r="Q118" s="3">
        <v>816</v>
      </c>
      <c r="R118" s="330" t="s">
        <v>2604</v>
      </c>
    </row>
    <row r="119" spans="1:18" ht="104.25" customHeight="1">
      <c r="A119" s="13"/>
      <c r="B119" s="11" t="s">
        <v>1523</v>
      </c>
      <c r="C119" s="11" t="s">
        <v>1522</v>
      </c>
      <c r="D119" s="142" t="s">
        <v>1524</v>
      </c>
      <c r="E119" s="13"/>
      <c r="F119" s="9" t="s">
        <v>2701</v>
      </c>
      <c r="G119" s="148"/>
      <c r="H119" s="9"/>
      <c r="I119" s="17" t="s">
        <v>611</v>
      </c>
      <c r="J119" s="64"/>
      <c r="K119" s="14"/>
      <c r="L119" s="84" t="s">
        <v>1525</v>
      </c>
      <c r="M119" s="20"/>
      <c r="N119" s="3" t="s">
        <v>816</v>
      </c>
    </row>
    <row r="120" spans="1:18" ht="112.5">
      <c r="A120" s="13"/>
      <c r="B120" s="11" t="s">
        <v>3415</v>
      </c>
      <c r="C120" s="11" t="s">
        <v>3247</v>
      </c>
      <c r="D120" s="11" t="s">
        <v>3248</v>
      </c>
      <c r="E120" s="13">
        <v>5</v>
      </c>
      <c r="F120" s="9">
        <v>2</v>
      </c>
      <c r="G120" s="148" t="s">
        <v>175</v>
      </c>
      <c r="H120" s="9" t="s">
        <v>1623</v>
      </c>
      <c r="I120" s="157" t="s">
        <v>1966</v>
      </c>
      <c r="J120" s="64"/>
      <c r="K120" s="18" t="s">
        <v>3249</v>
      </c>
      <c r="L120" s="84" t="s">
        <v>3416</v>
      </c>
      <c r="M120" s="361" t="s">
        <v>2858</v>
      </c>
      <c r="N120" s="3" t="s">
        <v>3457</v>
      </c>
      <c r="O120" s="3" t="s">
        <v>3457</v>
      </c>
      <c r="P120" s="3" t="s">
        <v>3457</v>
      </c>
      <c r="Q120" s="3" t="s">
        <v>3457</v>
      </c>
    </row>
    <row r="121" spans="1:18" ht="281.25">
      <c r="A121" s="13"/>
      <c r="B121" s="11" t="s">
        <v>1794</v>
      </c>
      <c r="C121" s="11" t="s">
        <v>2494</v>
      </c>
      <c r="D121" s="142" t="s">
        <v>2495</v>
      </c>
      <c r="E121" s="13"/>
      <c r="F121" s="13"/>
      <c r="G121" s="148" t="s">
        <v>1795</v>
      </c>
      <c r="H121" s="9" t="s">
        <v>96</v>
      </c>
      <c r="I121" s="88" t="s">
        <v>571</v>
      </c>
      <c r="J121" s="26"/>
      <c r="K121" s="18" t="s">
        <v>2484</v>
      </c>
      <c r="M121" s="25" t="s">
        <v>1676</v>
      </c>
      <c r="R121" s="3" t="s">
        <v>2721</v>
      </c>
    </row>
    <row r="122" spans="1:18" ht="97.5" customHeight="1">
      <c r="A122" s="13">
        <v>41</v>
      </c>
      <c r="B122" s="11" t="s">
        <v>3152</v>
      </c>
      <c r="C122" s="11" t="s">
        <v>3153</v>
      </c>
      <c r="D122" s="11" t="s">
        <v>3154</v>
      </c>
      <c r="E122" s="12"/>
      <c r="F122" s="13">
        <v>2</v>
      </c>
      <c r="G122" s="29" t="s">
        <v>311</v>
      </c>
      <c r="H122" s="9" t="s">
        <v>96</v>
      </c>
      <c r="I122" s="88" t="s">
        <v>571</v>
      </c>
      <c r="J122" s="64">
        <v>918009789</v>
      </c>
      <c r="K122" s="18" t="s">
        <v>3213</v>
      </c>
      <c r="L122" s="25" t="s">
        <v>1731</v>
      </c>
      <c r="M122" s="25" t="s">
        <v>1730</v>
      </c>
      <c r="N122" s="3" t="s">
        <v>1973</v>
      </c>
      <c r="O122" s="99" t="s">
        <v>3155</v>
      </c>
    </row>
    <row r="123" spans="1:18" ht="93.75">
      <c r="A123" s="13"/>
      <c r="B123" s="11" t="s">
        <v>1897</v>
      </c>
      <c r="C123" s="11" t="s">
        <v>2541</v>
      </c>
      <c r="D123" s="11" t="s">
        <v>1899</v>
      </c>
      <c r="E123" s="13"/>
      <c r="F123" s="13"/>
      <c r="G123" s="29" t="s">
        <v>311</v>
      </c>
      <c r="H123" s="9" t="s">
        <v>96</v>
      </c>
      <c r="I123" s="88" t="s">
        <v>571</v>
      </c>
      <c r="J123" s="13"/>
      <c r="K123" s="18" t="s">
        <v>2543</v>
      </c>
      <c r="L123" s="18" t="s">
        <v>3475</v>
      </c>
      <c r="M123" s="18" t="s">
        <v>1885</v>
      </c>
      <c r="N123" s="3" t="s">
        <v>2901</v>
      </c>
    </row>
    <row r="124" spans="1:18" ht="56.25">
      <c r="A124" s="13"/>
      <c r="B124" s="11" t="s">
        <v>1345</v>
      </c>
      <c r="C124" s="11" t="s">
        <v>515</v>
      </c>
      <c r="D124" s="11" t="s">
        <v>805</v>
      </c>
      <c r="E124" s="12"/>
      <c r="F124" s="9">
        <v>1</v>
      </c>
      <c r="G124" s="148" t="s">
        <v>16</v>
      </c>
      <c r="H124" s="34" t="s">
        <v>81</v>
      </c>
      <c r="I124" s="10" t="s">
        <v>51</v>
      </c>
      <c r="J124" s="132" t="s">
        <v>516</v>
      </c>
      <c r="K124" s="18" t="s">
        <v>1770</v>
      </c>
      <c r="L124" s="25" t="s">
        <v>46</v>
      </c>
      <c r="M124" s="25" t="s">
        <v>1731</v>
      </c>
      <c r="N124" s="3">
        <v>816</v>
      </c>
      <c r="R124" s="3" t="s">
        <v>1813</v>
      </c>
    </row>
    <row r="125" spans="1:18" ht="93.75">
      <c r="A125" s="13"/>
      <c r="B125" s="11" t="s">
        <v>1620</v>
      </c>
      <c r="C125" s="11" t="s">
        <v>2447</v>
      </c>
      <c r="D125" s="11" t="s">
        <v>806</v>
      </c>
      <c r="E125" s="12"/>
      <c r="F125" s="9" t="s">
        <v>2701</v>
      </c>
      <c r="G125" s="148" t="s">
        <v>16</v>
      </c>
      <c r="H125" s="9" t="s">
        <v>96</v>
      </c>
      <c r="I125" s="28" t="s">
        <v>807</v>
      </c>
      <c r="J125" s="28" t="s">
        <v>808</v>
      </c>
      <c r="K125" s="18" t="s">
        <v>2869</v>
      </c>
      <c r="L125" s="20" t="s">
        <v>1592</v>
      </c>
      <c r="M125" s="20" t="s">
        <v>1592</v>
      </c>
      <c r="N125" s="3" t="s">
        <v>172</v>
      </c>
    </row>
    <row r="126" spans="1:18" ht="91.5" customHeight="1">
      <c r="A126" s="13"/>
      <c r="B126" s="11" t="s">
        <v>1620</v>
      </c>
      <c r="C126" s="11" t="s">
        <v>2870</v>
      </c>
      <c r="D126" s="11" t="s">
        <v>806</v>
      </c>
      <c r="E126" s="12"/>
      <c r="F126" s="9" t="s">
        <v>2701</v>
      </c>
      <c r="G126" s="148" t="s">
        <v>16</v>
      </c>
      <c r="H126" s="34" t="s">
        <v>81</v>
      </c>
      <c r="I126" s="28" t="s">
        <v>767</v>
      </c>
      <c r="J126" s="28" t="s">
        <v>808</v>
      </c>
      <c r="K126" s="18" t="s">
        <v>2869</v>
      </c>
      <c r="L126" s="20" t="s">
        <v>1592</v>
      </c>
      <c r="M126" s="20" t="s">
        <v>1592</v>
      </c>
      <c r="N126" s="3" t="s">
        <v>172</v>
      </c>
    </row>
    <row r="127" spans="1:18" ht="114.75" customHeight="1">
      <c r="A127" s="13"/>
      <c r="B127" s="11" t="s">
        <v>1139</v>
      </c>
      <c r="C127" s="11" t="s">
        <v>32</v>
      </c>
      <c r="D127" s="11" t="s">
        <v>1875</v>
      </c>
      <c r="E127" s="12">
        <v>7</v>
      </c>
      <c r="F127" s="9">
        <v>3</v>
      </c>
      <c r="G127" s="148" t="s">
        <v>16</v>
      </c>
      <c r="H127" s="34" t="s">
        <v>81</v>
      </c>
      <c r="I127" s="24" t="s">
        <v>1492</v>
      </c>
      <c r="J127" s="82" t="s">
        <v>33</v>
      </c>
      <c r="K127" s="18" t="s">
        <v>1723</v>
      </c>
      <c r="L127" s="25" t="s">
        <v>1876</v>
      </c>
      <c r="M127" s="25" t="s">
        <v>1876</v>
      </c>
      <c r="N127" s="3">
        <v>816</v>
      </c>
      <c r="P127" s="3">
        <v>31283</v>
      </c>
    </row>
    <row r="128" spans="1:18" ht="131.25">
      <c r="A128" s="13"/>
      <c r="B128" s="115" t="s">
        <v>1644</v>
      </c>
      <c r="C128" s="115" t="s">
        <v>622</v>
      </c>
      <c r="D128" s="11" t="s">
        <v>1645</v>
      </c>
      <c r="E128" s="12"/>
      <c r="F128" s="9"/>
      <c r="G128" s="148" t="s">
        <v>16</v>
      </c>
      <c r="H128" s="34" t="s">
        <v>81</v>
      </c>
      <c r="I128" s="24" t="s">
        <v>55</v>
      </c>
      <c r="J128" s="28"/>
      <c r="K128" s="18" t="s">
        <v>1642</v>
      </c>
      <c r="L128" s="124" t="s">
        <v>809</v>
      </c>
      <c r="M128" s="20" t="s">
        <v>1643</v>
      </c>
      <c r="N128" s="3">
        <v>816</v>
      </c>
      <c r="P128" s="3">
        <v>816</v>
      </c>
      <c r="R128" s="3" t="s">
        <v>2864</v>
      </c>
    </row>
    <row r="129" spans="1:18" ht="112.5">
      <c r="A129" s="13"/>
      <c r="B129" s="11" t="s">
        <v>1589</v>
      </c>
      <c r="C129" s="10" t="s">
        <v>398</v>
      </c>
      <c r="D129" s="11" t="s">
        <v>810</v>
      </c>
      <c r="E129" s="12"/>
      <c r="F129" s="9">
        <v>3</v>
      </c>
      <c r="G129" s="148" t="s">
        <v>16</v>
      </c>
      <c r="H129" s="9" t="s">
        <v>96</v>
      </c>
      <c r="I129" s="10" t="s">
        <v>51</v>
      </c>
      <c r="J129" s="28" t="s">
        <v>811</v>
      </c>
      <c r="K129" s="18" t="s">
        <v>1935</v>
      </c>
      <c r="L129" s="138" t="s">
        <v>1613</v>
      </c>
      <c r="M129" s="138" t="s">
        <v>1613</v>
      </c>
      <c r="N129" s="3">
        <v>816</v>
      </c>
      <c r="P129" s="3">
        <v>816</v>
      </c>
      <c r="R129" s="162" t="s">
        <v>2687</v>
      </c>
    </row>
    <row r="130" spans="1:18" ht="131.25">
      <c r="A130" s="13"/>
      <c r="B130" s="11" t="s">
        <v>1536</v>
      </c>
      <c r="C130" s="11" t="s">
        <v>603</v>
      </c>
      <c r="D130" s="11" t="s">
        <v>812</v>
      </c>
      <c r="E130" s="12"/>
      <c r="F130" s="9">
        <v>3</v>
      </c>
      <c r="G130" s="148" t="s">
        <v>16</v>
      </c>
      <c r="H130" s="34" t="s">
        <v>81</v>
      </c>
      <c r="I130" s="24" t="s">
        <v>1492</v>
      </c>
      <c r="J130" s="146" t="s">
        <v>604</v>
      </c>
      <c r="K130" s="18" t="s">
        <v>1532</v>
      </c>
      <c r="L130" s="25"/>
      <c r="M130" s="25" t="s">
        <v>1534</v>
      </c>
      <c r="N130" s="3">
        <v>816</v>
      </c>
      <c r="P130" s="3">
        <v>816</v>
      </c>
      <c r="R130" s="12" t="s">
        <v>2987</v>
      </c>
    </row>
    <row r="131" spans="1:18" ht="93.75">
      <c r="A131" s="13"/>
      <c r="B131" s="107" t="s">
        <v>1303</v>
      </c>
      <c r="C131" s="136" t="s">
        <v>693</v>
      </c>
      <c r="D131" s="11" t="s">
        <v>1009</v>
      </c>
      <c r="E131" s="12"/>
      <c r="F131" s="9"/>
      <c r="G131" s="148" t="s">
        <v>16</v>
      </c>
      <c r="H131" s="34" t="s">
        <v>43</v>
      </c>
      <c r="I131" s="28" t="s">
        <v>17</v>
      </c>
      <c r="J131" s="190" t="s">
        <v>813</v>
      </c>
      <c r="K131" s="18" t="s">
        <v>1815</v>
      </c>
      <c r="L131" s="25" t="s">
        <v>1731</v>
      </c>
      <c r="M131" s="25"/>
      <c r="N131" s="3">
        <v>816</v>
      </c>
      <c r="R131" s="3" t="s">
        <v>3145</v>
      </c>
    </row>
    <row r="132" spans="1:18" ht="102.75" customHeight="1">
      <c r="A132" s="13"/>
      <c r="B132" s="11" t="s">
        <v>1346</v>
      </c>
      <c r="C132" s="11" t="s">
        <v>2149</v>
      </c>
      <c r="D132" s="11" t="s">
        <v>814</v>
      </c>
      <c r="E132" s="12"/>
      <c r="F132" s="9"/>
      <c r="G132" s="147"/>
      <c r="H132" s="9" t="s">
        <v>96</v>
      </c>
      <c r="I132" s="28" t="s">
        <v>17</v>
      </c>
      <c r="J132" s="28" t="s">
        <v>815</v>
      </c>
      <c r="K132" s="18" t="s">
        <v>2148</v>
      </c>
      <c r="L132" s="25" t="s">
        <v>918</v>
      </c>
      <c r="M132" s="25" t="s">
        <v>1557</v>
      </c>
      <c r="N132" s="3" t="s">
        <v>816</v>
      </c>
      <c r="O132" s="3" t="s">
        <v>942</v>
      </c>
      <c r="R132" s="3" t="s">
        <v>3348</v>
      </c>
    </row>
    <row r="133" spans="1:18" ht="112.5">
      <c r="A133" s="13"/>
      <c r="B133" s="11" t="s">
        <v>1347</v>
      </c>
      <c r="C133" s="11" t="s">
        <v>2851</v>
      </c>
      <c r="D133" s="11" t="s">
        <v>2717</v>
      </c>
      <c r="E133" s="12">
        <v>5</v>
      </c>
      <c r="F133" s="9">
        <v>2</v>
      </c>
      <c r="G133" s="29" t="s">
        <v>16</v>
      </c>
      <c r="H133" s="9" t="s">
        <v>96</v>
      </c>
      <c r="I133" s="28" t="s">
        <v>564</v>
      </c>
      <c r="J133" s="82" t="s">
        <v>625</v>
      </c>
      <c r="K133" s="18" t="s">
        <v>2852</v>
      </c>
      <c r="L133" s="20" t="s">
        <v>2845</v>
      </c>
      <c r="M133" s="20" t="s">
        <v>2845</v>
      </c>
      <c r="O133" s="3">
        <v>816</v>
      </c>
      <c r="R133" s="12">
        <v>7</v>
      </c>
    </row>
    <row r="134" spans="1:18" ht="93.75">
      <c r="A134" s="13"/>
      <c r="B134" s="136" t="s">
        <v>3276</v>
      </c>
      <c r="C134" s="136" t="s">
        <v>3275</v>
      </c>
      <c r="D134" s="136" t="s">
        <v>3277</v>
      </c>
      <c r="E134" s="12">
        <v>7</v>
      </c>
      <c r="F134" s="9">
        <v>2</v>
      </c>
      <c r="G134" s="29" t="s">
        <v>16</v>
      </c>
      <c r="H134" s="9" t="s">
        <v>43</v>
      </c>
      <c r="I134" s="28" t="s">
        <v>19</v>
      </c>
      <c r="J134" s="28" t="s">
        <v>695</v>
      </c>
      <c r="K134" s="18" t="s">
        <v>3323</v>
      </c>
      <c r="L134" s="20" t="s">
        <v>3226</v>
      </c>
      <c r="M134" s="20" t="s">
        <v>3226</v>
      </c>
      <c r="O134" s="3">
        <v>816</v>
      </c>
    </row>
    <row r="135" spans="1:18" ht="93.75">
      <c r="A135" s="13"/>
      <c r="B135" s="136" t="s">
        <v>3276</v>
      </c>
      <c r="C135" s="136" t="s">
        <v>3324</v>
      </c>
      <c r="D135" s="136" t="s">
        <v>3277</v>
      </c>
      <c r="E135" s="12">
        <v>7</v>
      </c>
      <c r="F135" s="9">
        <v>2</v>
      </c>
      <c r="G135" s="29"/>
      <c r="H135" s="9"/>
      <c r="I135" s="28" t="s">
        <v>19</v>
      </c>
      <c r="J135" s="28"/>
      <c r="K135" s="18" t="s">
        <v>3323</v>
      </c>
      <c r="L135" s="20" t="s">
        <v>3226</v>
      </c>
      <c r="M135" s="20" t="s">
        <v>3226</v>
      </c>
      <c r="O135" s="3">
        <v>816</v>
      </c>
    </row>
    <row r="136" spans="1:18" ht="131.25">
      <c r="A136" s="13"/>
      <c r="B136" s="11" t="s">
        <v>1348</v>
      </c>
      <c r="C136" s="11" t="s">
        <v>2930</v>
      </c>
      <c r="D136" s="11" t="s">
        <v>817</v>
      </c>
      <c r="E136" s="12"/>
      <c r="F136" s="9">
        <v>4</v>
      </c>
      <c r="G136" s="29" t="s">
        <v>818</v>
      </c>
      <c r="H136" s="9" t="s">
        <v>96</v>
      </c>
      <c r="I136" s="28" t="s">
        <v>420</v>
      </c>
      <c r="J136" s="28" t="s">
        <v>819</v>
      </c>
      <c r="K136" s="18" t="s">
        <v>68</v>
      </c>
      <c r="L136" s="25" t="s">
        <v>58</v>
      </c>
      <c r="M136" s="25"/>
      <c r="N136" s="3">
        <v>816</v>
      </c>
    </row>
    <row r="137" spans="1:18" ht="93.75">
      <c r="A137" s="13"/>
      <c r="B137" s="11" t="s">
        <v>3096</v>
      </c>
      <c r="C137" s="66" t="s">
        <v>3097</v>
      </c>
      <c r="D137" s="11" t="s">
        <v>3098</v>
      </c>
      <c r="E137" s="12">
        <v>5</v>
      </c>
      <c r="F137" s="9">
        <v>3</v>
      </c>
      <c r="G137" s="29" t="s">
        <v>16</v>
      </c>
      <c r="H137" s="34" t="s">
        <v>81</v>
      </c>
      <c r="I137" s="79" t="s">
        <v>19</v>
      </c>
      <c r="J137" s="28"/>
      <c r="K137" s="18" t="s">
        <v>3099</v>
      </c>
      <c r="L137" s="25" t="s">
        <v>3002</v>
      </c>
      <c r="M137" s="25" t="s">
        <v>3002</v>
      </c>
      <c r="P137" s="3">
        <v>816</v>
      </c>
      <c r="R137" s="12">
        <v>5</v>
      </c>
    </row>
    <row r="138" spans="1:18" ht="168.75">
      <c r="A138" s="13"/>
      <c r="B138" s="40" t="s">
        <v>1119</v>
      </c>
      <c r="C138" s="40" t="s">
        <v>914</v>
      </c>
      <c r="D138" s="40" t="s">
        <v>2112</v>
      </c>
      <c r="E138" s="12"/>
      <c r="F138" s="78">
        <v>4</v>
      </c>
      <c r="G138" s="78">
        <v>4</v>
      </c>
      <c r="H138" s="34" t="s">
        <v>81</v>
      </c>
      <c r="I138" s="79" t="s">
        <v>19</v>
      </c>
      <c r="J138" s="43">
        <v>6503639904</v>
      </c>
      <c r="K138" s="191" t="s">
        <v>2111</v>
      </c>
      <c r="L138" s="56" t="s">
        <v>2034</v>
      </c>
      <c r="M138" s="127"/>
      <c r="N138" s="3">
        <v>816</v>
      </c>
      <c r="Q138" s="3">
        <v>816</v>
      </c>
      <c r="R138" s="99" t="s">
        <v>3347</v>
      </c>
    </row>
    <row r="139" spans="1:18" s="131" customFormat="1" ht="75">
      <c r="A139" s="234"/>
      <c r="B139" s="235" t="s">
        <v>1679</v>
      </c>
      <c r="C139" s="60" t="s">
        <v>94</v>
      </c>
      <c r="D139" s="243" t="s">
        <v>821</v>
      </c>
      <c r="E139" s="244"/>
      <c r="F139" s="245"/>
      <c r="G139" s="246" t="s">
        <v>16</v>
      </c>
      <c r="H139" s="239" t="s">
        <v>81</v>
      </c>
      <c r="I139" s="247" t="s">
        <v>571</v>
      </c>
      <c r="J139" s="248" t="s">
        <v>822</v>
      </c>
      <c r="K139" s="249" t="s">
        <v>823</v>
      </c>
      <c r="L139" s="250" t="s">
        <v>749</v>
      </c>
      <c r="M139" s="250"/>
      <c r="N139" s="251" t="s">
        <v>119</v>
      </c>
      <c r="R139" s="131" t="s">
        <v>2061</v>
      </c>
    </row>
    <row r="140" spans="1:18" ht="173.25" customHeight="1">
      <c r="A140" s="13"/>
      <c r="B140" s="11" t="s">
        <v>197</v>
      </c>
      <c r="C140" s="10" t="s">
        <v>1481</v>
      </c>
      <c r="D140" s="11" t="s">
        <v>824</v>
      </c>
      <c r="E140" s="12"/>
      <c r="F140" s="78">
        <v>2</v>
      </c>
      <c r="G140" s="29" t="s">
        <v>16</v>
      </c>
      <c r="H140" s="34" t="s">
        <v>81</v>
      </c>
      <c r="I140" s="79" t="s">
        <v>19</v>
      </c>
      <c r="J140" s="43"/>
      <c r="K140" s="44">
        <v>43775</v>
      </c>
      <c r="L140" s="56" t="s">
        <v>140</v>
      </c>
      <c r="M140" s="127"/>
      <c r="N140" s="3">
        <v>816</v>
      </c>
    </row>
    <row r="141" spans="1:18" ht="187.5">
      <c r="A141" s="13"/>
      <c r="B141" s="107" t="s">
        <v>1349</v>
      </c>
      <c r="C141" s="136" t="s">
        <v>2353</v>
      </c>
      <c r="D141" s="40" t="s">
        <v>1605</v>
      </c>
      <c r="E141" s="95"/>
      <c r="F141" s="78"/>
      <c r="G141" s="147"/>
      <c r="H141" s="34"/>
      <c r="I141" s="193" t="s">
        <v>420</v>
      </c>
      <c r="J141" s="17">
        <v>2839.1473000000001</v>
      </c>
      <c r="K141" s="191" t="s">
        <v>2185</v>
      </c>
      <c r="L141" s="192" t="s">
        <v>1592</v>
      </c>
      <c r="M141" s="192" t="s">
        <v>1592</v>
      </c>
      <c r="N141" s="7"/>
    </row>
    <row r="142" spans="1:18" ht="112.5">
      <c r="A142" s="13"/>
      <c r="B142" s="11" t="s">
        <v>2528</v>
      </c>
      <c r="C142" s="66" t="s">
        <v>2529</v>
      </c>
      <c r="D142" s="40" t="s">
        <v>1038</v>
      </c>
      <c r="E142" s="95"/>
      <c r="F142" s="78"/>
      <c r="G142" s="147"/>
      <c r="H142" s="34"/>
      <c r="I142" s="79" t="s">
        <v>420</v>
      </c>
      <c r="J142" s="194" t="s">
        <v>825</v>
      </c>
      <c r="K142" s="67" t="s">
        <v>2518</v>
      </c>
      <c r="L142" s="68" t="s">
        <v>1074</v>
      </c>
      <c r="M142" s="68" t="s">
        <v>1074</v>
      </c>
      <c r="N142" s="3">
        <v>816</v>
      </c>
    </row>
    <row r="143" spans="1:18" ht="243.75">
      <c r="A143" s="13"/>
      <c r="B143" s="11" t="s">
        <v>3360</v>
      </c>
      <c r="C143" s="188" t="s">
        <v>3081</v>
      </c>
      <c r="D143" s="11" t="s">
        <v>3361</v>
      </c>
      <c r="E143" s="37">
        <v>3</v>
      </c>
      <c r="F143" s="9" t="s">
        <v>2701</v>
      </c>
      <c r="G143" s="29"/>
      <c r="H143" s="34"/>
      <c r="I143" s="28" t="s">
        <v>420</v>
      </c>
      <c r="J143" s="30" t="s">
        <v>826</v>
      </c>
      <c r="K143" s="18" t="s">
        <v>3373</v>
      </c>
      <c r="L143" s="20" t="s">
        <v>3382</v>
      </c>
      <c r="M143" s="20" t="s">
        <v>3382</v>
      </c>
      <c r="N143" s="99" t="s">
        <v>3381</v>
      </c>
      <c r="O143" s="3">
        <v>816</v>
      </c>
      <c r="P143" s="3">
        <v>816</v>
      </c>
      <c r="Q143" s="3">
        <v>816</v>
      </c>
      <c r="R143" s="37">
        <v>3</v>
      </c>
    </row>
    <row r="144" spans="1:18" ht="117" customHeight="1">
      <c r="A144" s="13"/>
      <c r="B144" s="11" t="s">
        <v>2161</v>
      </c>
      <c r="C144" s="10" t="s">
        <v>2448</v>
      </c>
      <c r="D144" s="32" t="s">
        <v>2162</v>
      </c>
      <c r="E144" s="37"/>
      <c r="F144" s="9"/>
      <c r="G144" s="29"/>
      <c r="H144" s="34"/>
      <c r="I144" s="28"/>
      <c r="J144" s="30"/>
      <c r="K144" s="18"/>
      <c r="L144" s="20"/>
      <c r="M144" s="20"/>
    </row>
    <row r="145" spans="1:18" ht="117" customHeight="1">
      <c r="A145" s="13"/>
      <c r="B145" s="11" t="s">
        <v>2003</v>
      </c>
      <c r="C145" s="66" t="s">
        <v>2004</v>
      </c>
      <c r="D145" s="11" t="s">
        <v>2005</v>
      </c>
      <c r="E145" s="37"/>
      <c r="F145" s="9"/>
      <c r="G145" s="29"/>
      <c r="H145" s="34" t="s">
        <v>81</v>
      </c>
      <c r="I145" s="28" t="s">
        <v>420</v>
      </c>
      <c r="J145" s="30"/>
      <c r="K145" s="14" t="s">
        <v>2002</v>
      </c>
      <c r="L145" s="20" t="s">
        <v>2006</v>
      </c>
      <c r="M145" s="20" t="s">
        <v>2006</v>
      </c>
      <c r="R145" s="3" t="s">
        <v>3126</v>
      </c>
    </row>
    <row r="146" spans="1:18" ht="112.5">
      <c r="A146" s="13"/>
      <c r="B146" s="11" t="s">
        <v>1351</v>
      </c>
      <c r="C146" s="66" t="s">
        <v>827</v>
      </c>
      <c r="D146" s="11" t="s">
        <v>744</v>
      </c>
      <c r="E146" s="37"/>
      <c r="F146" s="9">
        <v>4</v>
      </c>
      <c r="G146" s="147" t="s">
        <v>16</v>
      </c>
      <c r="H146" s="34" t="s">
        <v>81</v>
      </c>
      <c r="I146" s="88" t="s">
        <v>1470</v>
      </c>
      <c r="J146" s="30" t="s">
        <v>828</v>
      </c>
      <c r="K146" s="14">
        <v>44298</v>
      </c>
      <c r="L146" s="15" t="s">
        <v>829</v>
      </c>
      <c r="N146" s="3">
        <v>816</v>
      </c>
      <c r="Q146" s="3">
        <v>28360</v>
      </c>
    </row>
    <row r="147" spans="1:18" ht="117" customHeight="1">
      <c r="A147" s="13"/>
      <c r="B147" s="107" t="s">
        <v>1352</v>
      </c>
      <c r="C147" s="136" t="s">
        <v>2056</v>
      </c>
      <c r="D147" s="11" t="s">
        <v>812</v>
      </c>
      <c r="E147" s="37"/>
      <c r="F147" s="9">
        <v>3</v>
      </c>
      <c r="G147" s="147" t="s">
        <v>16</v>
      </c>
      <c r="H147" s="34" t="s">
        <v>81</v>
      </c>
      <c r="I147" s="28" t="s">
        <v>19</v>
      </c>
      <c r="J147" s="26" t="s">
        <v>830</v>
      </c>
      <c r="K147" s="18" t="s">
        <v>2053</v>
      </c>
      <c r="L147" s="19" t="s">
        <v>1885</v>
      </c>
      <c r="M147" s="20"/>
      <c r="N147" s="3">
        <v>816</v>
      </c>
      <c r="P147" s="3">
        <v>816</v>
      </c>
      <c r="R147" s="37" t="s">
        <v>3206</v>
      </c>
    </row>
    <row r="148" spans="1:18" s="131" customFormat="1" ht="117" customHeight="1">
      <c r="A148" s="234"/>
      <c r="B148" s="235" t="s">
        <v>1558</v>
      </c>
      <c r="C148" s="60" t="s">
        <v>1559</v>
      </c>
      <c r="D148" s="235" t="s">
        <v>1560</v>
      </c>
      <c r="E148" s="236"/>
      <c r="F148" s="237"/>
      <c r="G148" s="238" t="s">
        <v>16</v>
      </c>
      <c r="H148" s="239" t="s">
        <v>81</v>
      </c>
      <c r="I148" s="240" t="s">
        <v>571</v>
      </c>
      <c r="J148" s="241"/>
      <c r="K148" s="242" t="s">
        <v>1556</v>
      </c>
      <c r="L148" s="23" t="s">
        <v>947</v>
      </c>
      <c r="M148" s="23"/>
      <c r="R148" s="131" t="s">
        <v>2061</v>
      </c>
    </row>
    <row r="149" spans="1:18" ht="112.5">
      <c r="A149" s="13"/>
      <c r="B149" s="11" t="s">
        <v>2083</v>
      </c>
      <c r="C149" s="66" t="s">
        <v>2087</v>
      </c>
      <c r="D149" s="11" t="s">
        <v>2086</v>
      </c>
      <c r="E149" s="37"/>
      <c r="F149" s="9">
        <v>3</v>
      </c>
      <c r="G149" s="147" t="s">
        <v>16</v>
      </c>
      <c r="H149" s="34" t="s">
        <v>81</v>
      </c>
      <c r="I149" s="88" t="s">
        <v>1473</v>
      </c>
      <c r="J149" s="26" t="s">
        <v>831</v>
      </c>
      <c r="K149" s="18" t="s">
        <v>2084</v>
      </c>
      <c r="L149" s="20" t="s">
        <v>2085</v>
      </c>
      <c r="M149" s="20"/>
      <c r="N149" s="3">
        <v>816</v>
      </c>
      <c r="O149" s="3" t="s">
        <v>916</v>
      </c>
      <c r="P149" s="3">
        <v>816</v>
      </c>
      <c r="R149" s="3" t="s">
        <v>3347</v>
      </c>
    </row>
    <row r="150" spans="1:18" ht="112.5">
      <c r="A150" s="13"/>
      <c r="B150" s="11" t="s">
        <v>2083</v>
      </c>
      <c r="C150" s="66" t="s">
        <v>2087</v>
      </c>
      <c r="D150" s="11" t="s">
        <v>2490</v>
      </c>
      <c r="E150" s="37"/>
      <c r="F150" s="9"/>
      <c r="G150" s="147"/>
      <c r="H150" s="34"/>
      <c r="I150" s="88"/>
      <c r="J150" s="26"/>
      <c r="K150" s="18" t="s">
        <v>2084</v>
      </c>
      <c r="L150" s="20" t="s">
        <v>2085</v>
      </c>
      <c r="M150" s="20"/>
    </row>
    <row r="151" spans="1:18" ht="117" customHeight="1">
      <c r="A151" s="13"/>
      <c r="B151" s="11" t="s">
        <v>1353</v>
      </c>
      <c r="C151" s="11" t="s">
        <v>2656</v>
      </c>
      <c r="D151" s="11" t="s">
        <v>2657</v>
      </c>
      <c r="E151" s="37"/>
      <c r="F151" s="9">
        <v>3</v>
      </c>
      <c r="G151" s="147" t="s">
        <v>16</v>
      </c>
      <c r="H151" s="34" t="s">
        <v>81</v>
      </c>
      <c r="I151" s="28" t="s">
        <v>19</v>
      </c>
      <c r="J151" s="26" t="s">
        <v>244</v>
      </c>
      <c r="K151" s="18" t="s">
        <v>2654</v>
      </c>
      <c r="L151" s="25" t="s">
        <v>2546</v>
      </c>
      <c r="M151" s="25" t="s">
        <v>2546</v>
      </c>
      <c r="N151" s="3">
        <v>816</v>
      </c>
      <c r="O151" s="3">
        <v>816</v>
      </c>
      <c r="P151" s="3">
        <v>816</v>
      </c>
      <c r="R151" s="37" t="s">
        <v>3204</v>
      </c>
    </row>
    <row r="152" spans="1:18" ht="117" customHeight="1">
      <c r="A152" s="13"/>
      <c r="B152" s="11" t="s">
        <v>3060</v>
      </c>
      <c r="C152" s="10" t="s">
        <v>3058</v>
      </c>
      <c r="D152" s="11" t="s">
        <v>3117</v>
      </c>
      <c r="E152" s="37">
        <v>7</v>
      </c>
      <c r="F152" s="9">
        <v>2</v>
      </c>
      <c r="G152" s="147" t="s">
        <v>16</v>
      </c>
      <c r="H152" s="34" t="s">
        <v>81</v>
      </c>
      <c r="I152" s="28" t="s">
        <v>3061</v>
      </c>
      <c r="J152" s="26"/>
      <c r="K152" s="18" t="s">
        <v>1728</v>
      </c>
      <c r="L152" s="25" t="s">
        <v>3002</v>
      </c>
      <c r="M152" s="25" t="s">
        <v>3002</v>
      </c>
      <c r="O152" s="3" t="s">
        <v>3425</v>
      </c>
    </row>
    <row r="153" spans="1:18" ht="56.25">
      <c r="A153" s="13"/>
      <c r="B153" s="11" t="s">
        <v>1576</v>
      </c>
      <c r="C153" s="11" t="s">
        <v>1522</v>
      </c>
      <c r="D153" s="11" t="s">
        <v>771</v>
      </c>
      <c r="E153" s="37"/>
      <c r="F153" s="9">
        <v>1</v>
      </c>
      <c r="G153" s="147" t="s">
        <v>16</v>
      </c>
      <c r="H153" s="34" t="s">
        <v>81</v>
      </c>
      <c r="I153" s="28" t="s">
        <v>19</v>
      </c>
      <c r="J153" s="26" t="s">
        <v>832</v>
      </c>
      <c r="K153" s="18" t="s">
        <v>1914</v>
      </c>
      <c r="L153" s="25" t="s">
        <v>1859</v>
      </c>
      <c r="M153" s="25" t="s">
        <v>1859</v>
      </c>
      <c r="N153" s="3">
        <v>816</v>
      </c>
      <c r="R153" s="3" t="s">
        <v>3176</v>
      </c>
    </row>
    <row r="154" spans="1:18" ht="75">
      <c r="A154" s="13"/>
      <c r="B154" s="62" t="s">
        <v>1354</v>
      </c>
      <c r="C154" s="10" t="s">
        <v>2638</v>
      </c>
      <c r="D154" s="11" t="s">
        <v>771</v>
      </c>
      <c r="E154" s="37">
        <v>6</v>
      </c>
      <c r="F154" s="9">
        <v>3</v>
      </c>
      <c r="G154" s="147" t="s">
        <v>16</v>
      </c>
      <c r="H154" s="34" t="s">
        <v>81</v>
      </c>
      <c r="I154" s="79" t="s">
        <v>19</v>
      </c>
      <c r="J154" s="26" t="s">
        <v>833</v>
      </c>
      <c r="K154" s="18" t="s">
        <v>1950</v>
      </c>
      <c r="L154" s="20" t="s">
        <v>1906</v>
      </c>
      <c r="M154" s="20" t="s">
        <v>80</v>
      </c>
      <c r="N154" s="3">
        <v>816</v>
      </c>
      <c r="O154" s="3">
        <v>816</v>
      </c>
      <c r="P154" s="3">
        <v>816</v>
      </c>
    </row>
    <row r="155" spans="1:18" ht="112.5">
      <c r="A155" s="13"/>
      <c r="B155" s="11" t="s">
        <v>2683</v>
      </c>
      <c r="C155" s="10" t="s">
        <v>2684</v>
      </c>
      <c r="D155" s="11" t="s">
        <v>2685</v>
      </c>
      <c r="E155" s="37">
        <v>7</v>
      </c>
      <c r="F155" s="9">
        <v>1</v>
      </c>
      <c r="G155" s="147" t="s">
        <v>16</v>
      </c>
      <c r="H155" s="34" t="s">
        <v>81</v>
      </c>
      <c r="I155" s="79" t="s">
        <v>2903</v>
      </c>
      <c r="J155" s="26"/>
      <c r="K155" s="14">
        <v>45959</v>
      </c>
      <c r="L155" s="18" t="s">
        <v>2779</v>
      </c>
      <c r="M155" s="20"/>
      <c r="P155" s="3" t="s">
        <v>2412</v>
      </c>
    </row>
    <row r="156" spans="1:18" ht="56.25">
      <c r="A156" s="13"/>
      <c r="B156" s="62" t="s">
        <v>1354</v>
      </c>
      <c r="C156" s="10" t="s">
        <v>1939</v>
      </c>
      <c r="D156" s="11" t="s">
        <v>1755</v>
      </c>
      <c r="E156" s="37"/>
      <c r="F156" s="9"/>
      <c r="G156" s="147" t="s">
        <v>16</v>
      </c>
      <c r="H156" s="34" t="s">
        <v>81</v>
      </c>
      <c r="I156" s="88" t="s">
        <v>571</v>
      </c>
      <c r="J156" s="26"/>
      <c r="K156" s="18" t="s">
        <v>1935</v>
      </c>
      <c r="L156" s="20" t="s">
        <v>1786</v>
      </c>
      <c r="M156" s="20" t="s">
        <v>80</v>
      </c>
    </row>
    <row r="157" spans="1:18" ht="150">
      <c r="A157" s="13"/>
      <c r="B157" s="11" t="s">
        <v>1458</v>
      </c>
      <c r="C157" s="11" t="s">
        <v>1459</v>
      </c>
      <c r="D157" s="11" t="s">
        <v>1463</v>
      </c>
      <c r="E157" s="37"/>
      <c r="F157" s="9"/>
      <c r="G157" s="147" t="s">
        <v>16</v>
      </c>
      <c r="H157" s="34" t="s">
        <v>81</v>
      </c>
      <c r="I157" s="88" t="s">
        <v>571</v>
      </c>
      <c r="J157" s="26"/>
      <c r="K157" s="18" t="s">
        <v>1448</v>
      </c>
      <c r="M157" s="25" t="s">
        <v>889</v>
      </c>
    </row>
    <row r="158" spans="1:18" ht="56.25">
      <c r="A158" s="13"/>
      <c r="B158" s="11" t="s">
        <v>2043</v>
      </c>
      <c r="C158" s="11" t="s">
        <v>2044</v>
      </c>
      <c r="D158" s="11" t="s">
        <v>2045</v>
      </c>
      <c r="E158" s="37"/>
      <c r="F158" s="9"/>
      <c r="G158" s="147"/>
      <c r="H158" s="34"/>
      <c r="I158" s="88" t="s">
        <v>571</v>
      </c>
      <c r="J158" s="26"/>
      <c r="K158" s="18" t="s">
        <v>2046</v>
      </c>
      <c r="L158" s="25" t="s">
        <v>1375</v>
      </c>
      <c r="M158" s="25"/>
      <c r="R158" s="3" t="s">
        <v>2663</v>
      </c>
    </row>
    <row r="159" spans="1:18" ht="112.5">
      <c r="A159" s="13"/>
      <c r="B159" s="11" t="s">
        <v>1415</v>
      </c>
      <c r="C159" s="10" t="s">
        <v>191</v>
      </c>
      <c r="D159" s="11" t="s">
        <v>1416</v>
      </c>
      <c r="E159" s="37"/>
      <c r="F159" s="9"/>
      <c r="G159" s="147" t="s">
        <v>16</v>
      </c>
      <c r="H159" s="34" t="s">
        <v>81</v>
      </c>
      <c r="I159" s="88" t="s">
        <v>1997</v>
      </c>
      <c r="J159" s="26"/>
      <c r="K159" s="18" t="s">
        <v>1417</v>
      </c>
      <c r="L159" s="20"/>
      <c r="M159" s="20" t="s">
        <v>889</v>
      </c>
    </row>
    <row r="160" spans="1:18" ht="112.5">
      <c r="A160" s="13"/>
      <c r="B160" s="11" t="s">
        <v>1391</v>
      </c>
      <c r="C160" s="66" t="s">
        <v>834</v>
      </c>
      <c r="D160" s="11" t="s">
        <v>835</v>
      </c>
      <c r="E160" s="37"/>
      <c r="F160" s="9">
        <v>4</v>
      </c>
      <c r="G160" s="147" t="s">
        <v>16</v>
      </c>
      <c r="H160" s="34" t="s">
        <v>81</v>
      </c>
      <c r="I160" s="28" t="s">
        <v>19</v>
      </c>
      <c r="J160" s="26" t="s">
        <v>836</v>
      </c>
      <c r="K160" s="18" t="s">
        <v>130</v>
      </c>
      <c r="L160" s="25" t="s">
        <v>46</v>
      </c>
      <c r="M160" s="25"/>
      <c r="N160" s="3">
        <v>816</v>
      </c>
      <c r="O160" s="3" t="s">
        <v>915</v>
      </c>
    </row>
    <row r="161" spans="1:18" ht="89.25" customHeight="1">
      <c r="A161" s="13"/>
      <c r="B161" s="11" t="s">
        <v>1355</v>
      </c>
      <c r="C161" s="66" t="s">
        <v>2591</v>
      </c>
      <c r="D161" s="11" t="s">
        <v>1106</v>
      </c>
      <c r="E161" s="37">
        <v>7</v>
      </c>
      <c r="F161" s="9" t="s">
        <v>639</v>
      </c>
      <c r="G161" s="34" t="s">
        <v>170</v>
      </c>
      <c r="H161" s="34" t="s">
        <v>81</v>
      </c>
      <c r="I161" s="28" t="s">
        <v>19</v>
      </c>
      <c r="J161" s="26" t="s">
        <v>837</v>
      </c>
      <c r="K161" s="18" t="s">
        <v>2594</v>
      </c>
      <c r="L161" s="20" t="s">
        <v>2595</v>
      </c>
      <c r="M161" s="20"/>
      <c r="N161" s="3">
        <v>816</v>
      </c>
      <c r="O161" s="3">
        <v>816</v>
      </c>
      <c r="Q161" s="3">
        <v>816</v>
      </c>
    </row>
    <row r="162" spans="1:18" ht="89.25" customHeight="1">
      <c r="A162" s="13"/>
      <c r="B162" s="11" t="s">
        <v>1356</v>
      </c>
      <c r="C162" s="11" t="s">
        <v>580</v>
      </c>
      <c r="D162" s="11" t="s">
        <v>741</v>
      </c>
      <c r="E162" s="37"/>
      <c r="F162" s="9">
        <v>2</v>
      </c>
      <c r="G162" s="147" t="s">
        <v>16</v>
      </c>
      <c r="H162" s="34" t="s">
        <v>81</v>
      </c>
      <c r="I162" s="28" t="s">
        <v>19</v>
      </c>
      <c r="J162" s="26" t="s">
        <v>838</v>
      </c>
      <c r="K162" s="18" t="s">
        <v>1723</v>
      </c>
      <c r="L162" s="20" t="s">
        <v>1877</v>
      </c>
      <c r="M162" s="20"/>
      <c r="N162" s="3">
        <v>816</v>
      </c>
      <c r="O162" s="3">
        <v>816</v>
      </c>
      <c r="R162" s="3" t="s">
        <v>3179</v>
      </c>
    </row>
    <row r="163" spans="1:18" s="131" customFormat="1" ht="131.25" customHeight="1">
      <c r="A163" s="234"/>
      <c r="B163" s="235" t="s">
        <v>1527</v>
      </c>
      <c r="C163" s="235" t="s">
        <v>1528</v>
      </c>
      <c r="D163" s="235" t="s">
        <v>1531</v>
      </c>
      <c r="E163" s="234"/>
      <c r="F163" s="9" t="s">
        <v>2701</v>
      </c>
      <c r="G163" s="265" t="s">
        <v>16</v>
      </c>
      <c r="H163" s="60" t="s">
        <v>96</v>
      </c>
      <c r="I163" s="237" t="s">
        <v>571</v>
      </c>
      <c r="J163" s="234"/>
      <c r="K163" s="242" t="s">
        <v>1905</v>
      </c>
      <c r="L163" s="242" t="s">
        <v>1530</v>
      </c>
      <c r="M163" s="242" t="s">
        <v>1530</v>
      </c>
      <c r="N163" s="131" t="s">
        <v>1923</v>
      </c>
      <c r="O163" s="131" t="s">
        <v>1923</v>
      </c>
      <c r="P163" s="131" t="s">
        <v>1923</v>
      </c>
      <c r="Q163" s="131" t="s">
        <v>1923</v>
      </c>
      <c r="R163" s="131" t="s">
        <v>2108</v>
      </c>
    </row>
    <row r="164" spans="1:18" ht="131.25">
      <c r="A164" s="13"/>
      <c r="B164" s="10" t="s">
        <v>1832</v>
      </c>
      <c r="C164" s="10" t="s">
        <v>2362</v>
      </c>
      <c r="D164" s="11" t="s">
        <v>1839</v>
      </c>
      <c r="E164" s="9"/>
      <c r="F164" s="9"/>
      <c r="G164" s="12" t="s">
        <v>16</v>
      </c>
      <c r="H164" s="9" t="s">
        <v>96</v>
      </c>
      <c r="I164" s="17" t="s">
        <v>571</v>
      </c>
      <c r="J164" s="16"/>
      <c r="K164" s="18" t="s">
        <v>2363</v>
      </c>
      <c r="L164" s="25"/>
      <c r="M164" s="25" t="s">
        <v>2364</v>
      </c>
      <c r="N164" s="3">
        <v>816</v>
      </c>
      <c r="O164" s="3">
        <v>7</v>
      </c>
    </row>
    <row r="165" spans="1:18" ht="89.25" customHeight="1">
      <c r="A165" s="13"/>
      <c r="B165" s="11" t="s">
        <v>1357</v>
      </c>
      <c r="C165" s="66" t="s">
        <v>606</v>
      </c>
      <c r="D165" s="11" t="s">
        <v>840</v>
      </c>
      <c r="E165" s="37"/>
      <c r="F165" s="9">
        <v>3</v>
      </c>
      <c r="G165" s="147" t="s">
        <v>16</v>
      </c>
      <c r="H165" s="34" t="s">
        <v>81</v>
      </c>
      <c r="I165" s="28" t="s">
        <v>19</v>
      </c>
      <c r="J165" s="26" t="s">
        <v>607</v>
      </c>
      <c r="K165" s="18" t="s">
        <v>1862</v>
      </c>
      <c r="L165" s="20" t="s">
        <v>1864</v>
      </c>
      <c r="M165" s="20" t="s">
        <v>1864</v>
      </c>
      <c r="N165" s="3">
        <v>816</v>
      </c>
      <c r="P165" s="3">
        <v>816</v>
      </c>
      <c r="R165" s="37" t="s">
        <v>3439</v>
      </c>
    </row>
    <row r="166" spans="1:18" ht="89.25" customHeight="1">
      <c r="A166" s="13"/>
      <c r="B166" s="11" t="s">
        <v>1358</v>
      </c>
      <c r="C166" s="11" t="s">
        <v>2163</v>
      </c>
      <c r="D166" s="11" t="s">
        <v>1756</v>
      </c>
      <c r="E166" s="37"/>
      <c r="F166" s="9">
        <v>3</v>
      </c>
      <c r="G166" s="147" t="s">
        <v>16</v>
      </c>
      <c r="H166" s="34" t="s">
        <v>81</v>
      </c>
      <c r="I166" s="28" t="s">
        <v>19</v>
      </c>
      <c r="J166" s="26" t="s">
        <v>841</v>
      </c>
      <c r="K166" s="18" t="s">
        <v>1886</v>
      </c>
      <c r="L166" s="20" t="s">
        <v>1859</v>
      </c>
      <c r="M166" s="20" t="s">
        <v>1859</v>
      </c>
      <c r="P166" s="3">
        <v>816</v>
      </c>
      <c r="R166" s="37" t="s">
        <v>3211</v>
      </c>
    </row>
    <row r="167" spans="1:18" ht="112.5">
      <c r="A167" s="13"/>
      <c r="B167" s="11" t="s">
        <v>2347</v>
      </c>
      <c r="C167" s="11" t="s">
        <v>842</v>
      </c>
      <c r="D167" s="11" t="s">
        <v>727</v>
      </c>
      <c r="E167" s="37"/>
      <c r="F167" s="9">
        <v>4</v>
      </c>
      <c r="G167" s="29" t="s">
        <v>16</v>
      </c>
      <c r="H167" s="34" t="s">
        <v>843</v>
      </c>
      <c r="I167" s="28" t="s">
        <v>19</v>
      </c>
      <c r="J167" s="26" t="s">
        <v>634</v>
      </c>
      <c r="K167" s="18" t="s">
        <v>1862</v>
      </c>
      <c r="L167" s="25" t="s">
        <v>1859</v>
      </c>
      <c r="M167" s="25" t="s">
        <v>1859</v>
      </c>
      <c r="N167" s="3">
        <v>816</v>
      </c>
      <c r="Q167" s="3">
        <v>816</v>
      </c>
      <c r="R167" s="3" t="s">
        <v>3174</v>
      </c>
    </row>
    <row r="168" spans="1:18" ht="131.25">
      <c r="A168" s="13"/>
      <c r="B168" s="11" t="s">
        <v>1789</v>
      </c>
      <c r="C168" s="11" t="s">
        <v>1456</v>
      </c>
      <c r="D168" s="11" t="s">
        <v>1457</v>
      </c>
      <c r="E168" s="37"/>
      <c r="F168" s="9">
        <v>4</v>
      </c>
      <c r="G168" s="29" t="s">
        <v>16</v>
      </c>
      <c r="H168" s="34" t="s">
        <v>81</v>
      </c>
      <c r="I168" s="28" t="s">
        <v>19</v>
      </c>
      <c r="J168" s="26"/>
      <c r="K168" s="18" t="s">
        <v>1448</v>
      </c>
      <c r="L168" s="25" t="s">
        <v>924</v>
      </c>
      <c r="M168" s="25"/>
      <c r="N168" s="3">
        <v>816</v>
      </c>
      <c r="Q168" s="3">
        <v>816</v>
      </c>
      <c r="R168" s="3" t="s">
        <v>1744</v>
      </c>
    </row>
    <row r="169" spans="1:18" ht="150">
      <c r="A169" s="13"/>
      <c r="B169" s="11" t="s">
        <v>1289</v>
      </c>
      <c r="C169" s="11" t="s">
        <v>635</v>
      </c>
      <c r="D169" s="11" t="s">
        <v>770</v>
      </c>
      <c r="E169" s="37"/>
      <c r="F169" s="9">
        <v>4</v>
      </c>
      <c r="G169" s="29" t="s">
        <v>16</v>
      </c>
      <c r="H169" s="34" t="s">
        <v>96</v>
      </c>
      <c r="I169" s="24" t="s">
        <v>1468</v>
      </c>
      <c r="J169" s="26" t="s">
        <v>637</v>
      </c>
      <c r="K169" s="18" t="s">
        <v>136</v>
      </c>
      <c r="L169" s="125" t="s">
        <v>46</v>
      </c>
      <c r="M169" s="25"/>
      <c r="N169" s="3">
        <v>816</v>
      </c>
      <c r="Q169" s="3">
        <v>816</v>
      </c>
    </row>
    <row r="170" spans="1:18" ht="225">
      <c r="A170" s="13"/>
      <c r="B170" s="11" t="s">
        <v>1359</v>
      </c>
      <c r="C170" s="10" t="s">
        <v>1472</v>
      </c>
      <c r="D170" s="66" t="s">
        <v>943</v>
      </c>
      <c r="E170" s="37"/>
      <c r="F170" s="9">
        <v>3</v>
      </c>
      <c r="G170" s="29" t="s">
        <v>16</v>
      </c>
      <c r="H170" s="34" t="s">
        <v>96</v>
      </c>
      <c r="I170" s="24" t="s">
        <v>1473</v>
      </c>
      <c r="J170" s="26"/>
      <c r="K170" s="18" t="s">
        <v>944</v>
      </c>
      <c r="L170" s="35" t="s">
        <v>974</v>
      </c>
      <c r="M170" s="25"/>
      <c r="N170" s="3">
        <v>816</v>
      </c>
    </row>
    <row r="171" spans="1:18" ht="107.25" customHeight="1">
      <c r="A171" s="13"/>
      <c r="B171" s="11" t="s">
        <v>2998</v>
      </c>
      <c r="C171" s="10" t="s">
        <v>2999</v>
      </c>
      <c r="D171" s="189" t="s">
        <v>3000</v>
      </c>
      <c r="E171" s="13"/>
      <c r="F171" s="13">
        <v>2</v>
      </c>
      <c r="G171" s="12" t="s">
        <v>16</v>
      </c>
      <c r="H171" s="9" t="s">
        <v>96</v>
      </c>
      <c r="I171" s="17" t="s">
        <v>19</v>
      </c>
      <c r="J171" s="58" t="s">
        <v>115</v>
      </c>
      <c r="K171" s="18" t="s">
        <v>3001</v>
      </c>
      <c r="L171" s="19" t="s">
        <v>3002</v>
      </c>
      <c r="M171" s="19" t="s">
        <v>3002</v>
      </c>
      <c r="N171" s="3">
        <v>816</v>
      </c>
      <c r="O171" s="3">
        <v>816</v>
      </c>
      <c r="R171" s="13" t="s">
        <v>3347</v>
      </c>
    </row>
    <row r="172" spans="1:18" ht="177" customHeight="1">
      <c r="A172" s="13"/>
      <c r="B172" s="11" t="s">
        <v>2980</v>
      </c>
      <c r="C172" s="40" t="s">
        <v>2977</v>
      </c>
      <c r="D172" s="11" t="s">
        <v>2981</v>
      </c>
      <c r="E172" s="37"/>
      <c r="F172" s="9">
        <v>3</v>
      </c>
      <c r="G172" s="12" t="s">
        <v>16</v>
      </c>
      <c r="H172" s="58" t="s">
        <v>17</v>
      </c>
      <c r="I172" s="17" t="s">
        <v>19</v>
      </c>
      <c r="J172" s="26" t="s">
        <v>844</v>
      </c>
      <c r="K172" s="18" t="s">
        <v>2982</v>
      </c>
      <c r="M172" s="25" t="s">
        <v>2887</v>
      </c>
      <c r="N172" s="3">
        <v>43276</v>
      </c>
      <c r="O172" s="3">
        <v>43276</v>
      </c>
      <c r="P172" s="3">
        <v>43276</v>
      </c>
      <c r="R172" s="37" t="s">
        <v>3185</v>
      </c>
    </row>
    <row r="173" spans="1:18" ht="112.5">
      <c r="A173" s="13"/>
      <c r="B173" s="11" t="s">
        <v>1360</v>
      </c>
      <c r="C173" s="188" t="s">
        <v>845</v>
      </c>
      <c r="D173" s="11" t="s">
        <v>846</v>
      </c>
      <c r="E173" s="37"/>
      <c r="F173" s="9" t="s">
        <v>2701</v>
      </c>
      <c r="G173" s="12" t="s">
        <v>16</v>
      </c>
      <c r="H173" s="58" t="s">
        <v>43</v>
      </c>
      <c r="I173" s="17" t="s">
        <v>17</v>
      </c>
      <c r="J173" s="26" t="s">
        <v>648</v>
      </c>
      <c r="K173" s="68" t="s">
        <v>1886</v>
      </c>
      <c r="L173" s="68" t="s">
        <v>305</v>
      </c>
      <c r="M173" s="25" t="s">
        <v>1859</v>
      </c>
      <c r="N173" s="3">
        <v>816</v>
      </c>
      <c r="O173" s="3" t="s">
        <v>886</v>
      </c>
    </row>
    <row r="174" spans="1:18" ht="110.25" customHeight="1">
      <c r="A174" s="13"/>
      <c r="B174" s="11" t="s">
        <v>1444</v>
      </c>
      <c r="C174" s="188" t="s">
        <v>520</v>
      </c>
      <c r="D174" s="11" t="s">
        <v>847</v>
      </c>
      <c r="E174" s="37"/>
      <c r="F174" s="9">
        <v>1</v>
      </c>
      <c r="G174" s="12" t="s">
        <v>16</v>
      </c>
      <c r="H174" s="58" t="s">
        <v>43</v>
      </c>
      <c r="I174" s="17" t="s">
        <v>19</v>
      </c>
      <c r="J174" s="26" t="s">
        <v>522</v>
      </c>
      <c r="K174" s="18" t="s">
        <v>151</v>
      </c>
      <c r="L174" s="19" t="s">
        <v>1885</v>
      </c>
      <c r="M174" s="20"/>
      <c r="N174" s="3">
        <v>816</v>
      </c>
      <c r="P174" s="14"/>
      <c r="Q174" s="19"/>
      <c r="R174" s="9" t="s">
        <v>2987</v>
      </c>
    </row>
    <row r="175" spans="1:18" ht="112.5">
      <c r="A175" s="13"/>
      <c r="B175" s="107" t="s">
        <v>2905</v>
      </c>
      <c r="C175" s="136" t="s">
        <v>2118</v>
      </c>
      <c r="D175" s="10" t="s">
        <v>1555</v>
      </c>
      <c r="E175" s="12"/>
      <c r="F175" s="37">
        <v>3</v>
      </c>
      <c r="G175" s="37" t="s">
        <v>16</v>
      </c>
      <c r="H175" s="34" t="s">
        <v>17</v>
      </c>
      <c r="I175" s="9" t="s">
        <v>848</v>
      </c>
      <c r="J175" s="17" t="s">
        <v>685</v>
      </c>
      <c r="K175" s="18" t="s">
        <v>2117</v>
      </c>
      <c r="L175" s="56" t="s">
        <v>1592</v>
      </c>
      <c r="N175" s="3" t="s">
        <v>1974</v>
      </c>
    </row>
    <row r="176" spans="1:18" ht="75">
      <c r="A176" s="13"/>
      <c r="B176" s="11" t="s">
        <v>1361</v>
      </c>
      <c r="C176" s="188" t="s">
        <v>849</v>
      </c>
      <c r="D176" s="11" t="s">
        <v>850</v>
      </c>
      <c r="E176" s="37"/>
      <c r="F176" s="9">
        <v>3</v>
      </c>
      <c r="G176" s="37" t="s">
        <v>16</v>
      </c>
      <c r="H176" s="58" t="s">
        <v>96</v>
      </c>
      <c r="I176" s="24" t="s">
        <v>1478</v>
      </c>
      <c r="J176" s="26" t="s">
        <v>851</v>
      </c>
      <c r="K176" s="18" t="s">
        <v>1387</v>
      </c>
      <c r="L176" s="20" t="s">
        <v>1375</v>
      </c>
      <c r="M176" s="20"/>
      <c r="N176" s="3" t="s">
        <v>172</v>
      </c>
      <c r="Q176" s="3" t="s">
        <v>172</v>
      </c>
      <c r="R176" s="3" t="s">
        <v>1586</v>
      </c>
    </row>
    <row r="177" spans="1:18" ht="109.5" customHeight="1">
      <c r="A177" s="13"/>
      <c r="B177" s="107" t="s">
        <v>1362</v>
      </c>
      <c r="C177" s="107" t="s">
        <v>710</v>
      </c>
      <c r="D177" s="151" t="s">
        <v>852</v>
      </c>
      <c r="E177" s="13"/>
      <c r="F177" s="9">
        <v>2.4</v>
      </c>
      <c r="G177" s="71" t="s">
        <v>16</v>
      </c>
      <c r="H177" s="34" t="s">
        <v>81</v>
      </c>
      <c r="I177" s="9" t="s">
        <v>853</v>
      </c>
      <c r="J177" s="16" t="s">
        <v>854</v>
      </c>
      <c r="K177" s="18" t="s">
        <v>1914</v>
      </c>
      <c r="L177" s="25" t="s">
        <v>1887</v>
      </c>
      <c r="M177" s="25"/>
      <c r="N177" s="3">
        <v>816</v>
      </c>
      <c r="O177" s="3">
        <v>816</v>
      </c>
      <c r="Q177" s="3">
        <v>816</v>
      </c>
      <c r="R177" s="13" t="s">
        <v>3027</v>
      </c>
    </row>
    <row r="178" spans="1:18" ht="84.75" customHeight="1">
      <c r="A178" s="13"/>
      <c r="B178" s="11" t="s">
        <v>1213</v>
      </c>
      <c r="C178" s="11" t="s">
        <v>358</v>
      </c>
      <c r="D178" s="11" t="s">
        <v>855</v>
      </c>
      <c r="E178" s="12"/>
      <c r="F178" s="13">
        <v>1</v>
      </c>
      <c r="G178" s="37" t="s">
        <v>192</v>
      </c>
      <c r="H178" s="34" t="s">
        <v>81</v>
      </c>
      <c r="I178" s="88" t="s">
        <v>1465</v>
      </c>
      <c r="J178" s="30" t="s">
        <v>360</v>
      </c>
      <c r="K178" s="14">
        <v>44156</v>
      </c>
      <c r="L178" s="45" t="s">
        <v>730</v>
      </c>
      <c r="M178" s="20"/>
      <c r="N178" s="3" t="s">
        <v>172</v>
      </c>
      <c r="P178" s="3" t="s">
        <v>856</v>
      </c>
    </row>
    <row r="179" spans="1:18" ht="75">
      <c r="A179" s="13"/>
      <c r="B179" s="11" t="s">
        <v>3332</v>
      </c>
      <c r="C179" s="11" t="s">
        <v>3333</v>
      </c>
      <c r="D179" s="11" t="s">
        <v>3334</v>
      </c>
      <c r="E179" s="12">
        <v>4</v>
      </c>
      <c r="F179" s="13">
        <v>4</v>
      </c>
      <c r="G179" s="71" t="s">
        <v>16</v>
      </c>
      <c r="H179" s="34" t="s">
        <v>81</v>
      </c>
      <c r="I179" s="9" t="s">
        <v>853</v>
      </c>
      <c r="J179" s="26" t="s">
        <v>591</v>
      </c>
      <c r="K179" s="18" t="s">
        <v>3331</v>
      </c>
      <c r="L179" s="25" t="s">
        <v>3226</v>
      </c>
      <c r="M179" s="25" t="s">
        <v>3226</v>
      </c>
      <c r="P179" s="25"/>
      <c r="Q179" s="3" t="s">
        <v>733</v>
      </c>
      <c r="R179" s="12">
        <v>7</v>
      </c>
    </row>
    <row r="180" spans="1:18" ht="131.25">
      <c r="A180" s="13"/>
      <c r="B180" s="11" t="s">
        <v>1363</v>
      </c>
      <c r="C180" s="11" t="s">
        <v>857</v>
      </c>
      <c r="D180" s="11" t="s">
        <v>858</v>
      </c>
      <c r="E180" s="12"/>
      <c r="F180" s="49">
        <v>2</v>
      </c>
      <c r="G180" s="12" t="s">
        <v>16</v>
      </c>
      <c r="H180" s="58" t="s">
        <v>43</v>
      </c>
      <c r="I180" s="17" t="s">
        <v>19</v>
      </c>
      <c r="J180" s="28" t="s">
        <v>859</v>
      </c>
      <c r="K180" s="18" t="s">
        <v>130</v>
      </c>
      <c r="L180" s="227" t="s">
        <v>1827</v>
      </c>
      <c r="M180" s="25"/>
      <c r="N180" s="3">
        <v>816</v>
      </c>
      <c r="O180" s="3">
        <v>816</v>
      </c>
      <c r="Q180" s="3">
        <v>816</v>
      </c>
    </row>
    <row r="181" spans="1:18" ht="112.5">
      <c r="A181" s="13"/>
      <c r="B181" s="11" t="s">
        <v>2979</v>
      </c>
      <c r="C181" s="10" t="s">
        <v>2920</v>
      </c>
      <c r="D181" s="11" t="s">
        <v>860</v>
      </c>
      <c r="E181" s="13"/>
      <c r="F181" s="13"/>
      <c r="G181" s="12" t="s">
        <v>16</v>
      </c>
      <c r="H181" s="58" t="s">
        <v>43</v>
      </c>
      <c r="I181" s="17" t="s">
        <v>420</v>
      </c>
      <c r="J181" s="26" t="s">
        <v>351</v>
      </c>
      <c r="K181" s="18" t="s">
        <v>2913</v>
      </c>
      <c r="L181" s="20" t="s">
        <v>2887</v>
      </c>
      <c r="M181" s="20" t="s">
        <v>2887</v>
      </c>
      <c r="N181" s="99" t="s">
        <v>949</v>
      </c>
    </row>
    <row r="182" spans="1:18" ht="93.75">
      <c r="A182" s="13"/>
      <c r="B182" s="107" t="s">
        <v>1900</v>
      </c>
      <c r="C182" s="136" t="s">
        <v>1901</v>
      </c>
      <c r="D182" s="10" t="s">
        <v>1903</v>
      </c>
      <c r="E182" s="13"/>
      <c r="F182" s="9" t="s">
        <v>2701</v>
      </c>
      <c r="G182" s="71" t="s">
        <v>16</v>
      </c>
      <c r="H182" s="9" t="s">
        <v>43</v>
      </c>
      <c r="I182" s="106" t="s">
        <v>17</v>
      </c>
      <c r="J182" s="159"/>
      <c r="K182" s="18" t="s">
        <v>1932</v>
      </c>
      <c r="L182" s="25" t="s">
        <v>1944</v>
      </c>
      <c r="M182" s="25" t="s">
        <v>1701</v>
      </c>
      <c r="N182" s="39" t="s">
        <v>1931</v>
      </c>
      <c r="O182" s="39" t="s">
        <v>1931</v>
      </c>
      <c r="P182" s="39" t="s">
        <v>1931</v>
      </c>
      <c r="Q182" s="39" t="s">
        <v>1931</v>
      </c>
      <c r="R182" s="99" t="s">
        <v>2830</v>
      </c>
    </row>
    <row r="183" spans="1:18" ht="96" customHeight="1">
      <c r="A183" s="13"/>
      <c r="B183" s="11" t="s">
        <v>1364</v>
      </c>
      <c r="C183" s="11" t="s">
        <v>644</v>
      </c>
      <c r="D183" s="10" t="s">
        <v>900</v>
      </c>
      <c r="E183" s="13"/>
      <c r="F183" s="9" t="s">
        <v>2701</v>
      </c>
      <c r="G183" s="12"/>
      <c r="H183" s="91"/>
      <c r="I183" s="17" t="s">
        <v>420</v>
      </c>
      <c r="J183" s="26"/>
      <c r="K183" s="18" t="s">
        <v>861</v>
      </c>
      <c r="L183" s="124" t="s">
        <v>435</v>
      </c>
      <c r="M183" s="20"/>
      <c r="N183" s="3" t="s">
        <v>297</v>
      </c>
    </row>
    <row r="184" spans="1:18" ht="96" customHeight="1">
      <c r="A184" s="13"/>
      <c r="B184" s="11" t="s">
        <v>1108</v>
      </c>
      <c r="C184" s="11" t="s">
        <v>1109</v>
      </c>
      <c r="D184" s="10" t="s">
        <v>1110</v>
      </c>
      <c r="E184" s="13"/>
      <c r="F184" s="9">
        <v>4</v>
      </c>
      <c r="G184" s="12"/>
      <c r="H184" s="58" t="s">
        <v>96</v>
      </c>
      <c r="I184" s="17" t="s">
        <v>945</v>
      </c>
      <c r="J184" s="26"/>
      <c r="K184" s="18" t="s">
        <v>1107</v>
      </c>
      <c r="L184" s="20" t="s">
        <v>152</v>
      </c>
      <c r="M184" s="20"/>
      <c r="Q184" s="3">
        <v>816</v>
      </c>
    </row>
    <row r="185" spans="1:18" ht="112.5">
      <c r="A185" s="13"/>
      <c r="B185" s="103" t="s">
        <v>1365</v>
      </c>
      <c r="C185" s="103" t="s">
        <v>568</v>
      </c>
      <c r="D185" s="103" t="s">
        <v>1089</v>
      </c>
      <c r="E185" s="163"/>
      <c r="F185" s="163"/>
      <c r="G185" s="163"/>
      <c r="H185" s="195" t="s">
        <v>570</v>
      </c>
      <c r="I185" s="148"/>
      <c r="J185" s="196" t="s">
        <v>862</v>
      </c>
      <c r="K185" s="197" t="s">
        <v>354</v>
      </c>
      <c r="L185" s="77" t="s">
        <v>1543</v>
      </c>
      <c r="M185" s="54"/>
    </row>
    <row r="186" spans="1:18" ht="225">
      <c r="A186" s="13"/>
      <c r="B186" s="11" t="s">
        <v>3364</v>
      </c>
      <c r="C186" s="10" t="s">
        <v>3365</v>
      </c>
      <c r="D186" s="11" t="s">
        <v>3375</v>
      </c>
      <c r="E186" s="37">
        <v>6</v>
      </c>
      <c r="F186" s="9" t="s">
        <v>2701</v>
      </c>
      <c r="G186" s="12" t="s">
        <v>16</v>
      </c>
      <c r="H186" s="173" t="s">
        <v>17</v>
      </c>
      <c r="I186" s="17" t="s">
        <v>19</v>
      </c>
      <c r="J186" s="96" t="s">
        <v>631</v>
      </c>
      <c r="K186" s="18" t="s">
        <v>3373</v>
      </c>
      <c r="L186" s="25" t="s">
        <v>3374</v>
      </c>
      <c r="M186" s="76"/>
      <c r="N186" s="99" t="s">
        <v>3377</v>
      </c>
      <c r="O186" s="3" t="s">
        <v>3376</v>
      </c>
      <c r="P186" s="3" t="s">
        <v>3376</v>
      </c>
      <c r="Q186" s="3" t="s">
        <v>3376</v>
      </c>
      <c r="R186" s="37" t="s">
        <v>887</v>
      </c>
    </row>
    <row r="187" spans="1:18" ht="131.25">
      <c r="A187" s="13"/>
      <c r="B187" s="11" t="s">
        <v>2510</v>
      </c>
      <c r="C187" s="10" t="s">
        <v>863</v>
      </c>
      <c r="D187" s="11" t="s">
        <v>2069</v>
      </c>
      <c r="E187" s="37"/>
      <c r="F187" s="37"/>
      <c r="G187" s="12"/>
      <c r="H187" s="58"/>
      <c r="I187" s="157"/>
      <c r="J187" s="21"/>
      <c r="K187" s="18"/>
      <c r="L187" s="25" t="s">
        <v>1906</v>
      </c>
      <c r="M187" s="77"/>
    </row>
    <row r="188" spans="1:18" ht="95.25" customHeight="1">
      <c r="A188" s="13"/>
      <c r="B188" s="11" t="s">
        <v>1366</v>
      </c>
      <c r="C188" s="10" t="s">
        <v>2769</v>
      </c>
      <c r="D188" s="11" t="s">
        <v>2770</v>
      </c>
      <c r="E188" s="37"/>
      <c r="F188" s="37"/>
      <c r="G188" s="37"/>
      <c r="H188" s="58" t="s">
        <v>17</v>
      </c>
      <c r="I188" s="157"/>
      <c r="J188" s="16"/>
      <c r="K188" s="14">
        <v>45990</v>
      </c>
      <c r="L188" s="346" t="s">
        <v>2595</v>
      </c>
      <c r="M188" s="346" t="s">
        <v>2595</v>
      </c>
      <c r="N188" s="3" t="s">
        <v>1768</v>
      </c>
      <c r="R188" s="3" t="s">
        <v>3440</v>
      </c>
    </row>
    <row r="189" spans="1:18" ht="56.25">
      <c r="A189" s="13"/>
      <c r="B189" s="11" t="s">
        <v>1751</v>
      </c>
      <c r="C189" s="62" t="s">
        <v>436</v>
      </c>
      <c r="D189" s="11" t="s">
        <v>1752</v>
      </c>
      <c r="E189" s="12"/>
      <c r="F189" s="13"/>
      <c r="G189" s="29" t="s">
        <v>864</v>
      </c>
      <c r="H189" s="34" t="s">
        <v>96</v>
      </c>
      <c r="I189" s="102" t="s">
        <v>420</v>
      </c>
      <c r="J189" s="26"/>
      <c r="K189" s="14" t="s">
        <v>1982</v>
      </c>
      <c r="L189" s="25" t="s">
        <v>918</v>
      </c>
      <c r="M189" s="15" t="s">
        <v>1784</v>
      </c>
    </row>
    <row r="190" spans="1:18" ht="109.5" customHeight="1">
      <c r="A190" s="13"/>
      <c r="B190" s="10" t="s">
        <v>1308</v>
      </c>
      <c r="C190" s="10" t="s">
        <v>704</v>
      </c>
      <c r="D190" s="11" t="s">
        <v>865</v>
      </c>
      <c r="E190" s="12"/>
      <c r="F190" s="13"/>
      <c r="G190" s="29"/>
      <c r="H190" s="34"/>
      <c r="I190" s="102"/>
      <c r="J190" s="30" t="s">
        <v>866</v>
      </c>
      <c r="K190" s="18" t="s">
        <v>1556</v>
      </c>
      <c r="L190" s="25" t="s">
        <v>21</v>
      </c>
      <c r="M190" s="25" t="s">
        <v>1557</v>
      </c>
      <c r="N190" s="3" t="s">
        <v>172</v>
      </c>
    </row>
    <row r="191" spans="1:18" ht="111" customHeight="1">
      <c r="A191" s="13"/>
      <c r="B191" s="11" t="s">
        <v>1042</v>
      </c>
      <c r="C191" s="11" t="s">
        <v>661</v>
      </c>
      <c r="D191" s="11" t="s">
        <v>925</v>
      </c>
      <c r="E191" s="12"/>
      <c r="F191" s="13"/>
      <c r="G191" s="198"/>
      <c r="H191" s="34" t="s">
        <v>43</v>
      </c>
      <c r="I191" s="109" t="s">
        <v>420</v>
      </c>
      <c r="J191" s="26" t="s">
        <v>662</v>
      </c>
      <c r="K191" s="18" t="s">
        <v>1126</v>
      </c>
      <c r="L191" s="25" t="s">
        <v>382</v>
      </c>
      <c r="M191" s="25" t="s">
        <v>58</v>
      </c>
      <c r="N191" s="3" t="s">
        <v>867</v>
      </c>
      <c r="R191" s="3" t="s">
        <v>1043</v>
      </c>
    </row>
    <row r="192" spans="1:18" ht="131.25">
      <c r="A192" s="13"/>
      <c r="B192" s="10" t="s">
        <v>3227</v>
      </c>
      <c r="C192" s="10" t="s">
        <v>3228</v>
      </c>
      <c r="D192" s="11" t="s">
        <v>2191</v>
      </c>
      <c r="E192" s="13"/>
      <c r="F192" s="9" t="s">
        <v>2701</v>
      </c>
      <c r="G192" s="71"/>
      <c r="H192" s="9" t="s">
        <v>420</v>
      </c>
      <c r="I192" s="10" t="s">
        <v>2395</v>
      </c>
      <c r="J192" s="9" t="s">
        <v>706</v>
      </c>
      <c r="K192" s="160" t="s">
        <v>3280</v>
      </c>
      <c r="L192" s="161" t="s">
        <v>3319</v>
      </c>
      <c r="M192" s="161" t="s">
        <v>3319</v>
      </c>
      <c r="N192" s="39" t="s">
        <v>3318</v>
      </c>
      <c r="O192" s="357" t="s">
        <v>3229</v>
      </c>
      <c r="P192" s="99"/>
      <c r="Q192" s="99"/>
      <c r="R192" s="99" t="s">
        <v>3159</v>
      </c>
    </row>
    <row r="193" spans="1:19" ht="109.5" customHeight="1">
      <c r="A193" s="13"/>
      <c r="B193" s="107" t="s">
        <v>1367</v>
      </c>
      <c r="C193" s="136" t="s">
        <v>690</v>
      </c>
      <c r="D193" s="10" t="s">
        <v>2042</v>
      </c>
      <c r="E193" s="13"/>
      <c r="F193" s="13"/>
      <c r="G193" s="71"/>
      <c r="H193" s="9" t="s">
        <v>96</v>
      </c>
      <c r="I193" s="156" t="s">
        <v>17</v>
      </c>
      <c r="J193" s="159" t="s">
        <v>692</v>
      </c>
      <c r="K193" s="18" t="s">
        <v>1056</v>
      </c>
      <c r="L193" s="125" t="s">
        <v>1936</v>
      </c>
      <c r="M193" s="25" t="s">
        <v>1057</v>
      </c>
      <c r="N193" s="3" t="s">
        <v>820</v>
      </c>
      <c r="R193" s="3" t="s">
        <v>948</v>
      </c>
      <c r="S193" s="3" t="s">
        <v>2536</v>
      </c>
    </row>
    <row r="194" spans="1:19" ht="56.25">
      <c r="A194" s="13"/>
      <c r="B194" s="11" t="s">
        <v>2743</v>
      </c>
      <c r="C194" s="10" t="s">
        <v>2744</v>
      </c>
      <c r="D194" s="10" t="s">
        <v>869</v>
      </c>
      <c r="E194" s="13">
        <v>5</v>
      </c>
      <c r="F194" s="13">
        <v>1</v>
      </c>
      <c r="G194" s="12" t="s">
        <v>16</v>
      </c>
      <c r="H194" s="34" t="s">
        <v>96</v>
      </c>
      <c r="I194" s="17" t="s">
        <v>19</v>
      </c>
      <c r="J194" s="159" t="s">
        <v>870</v>
      </c>
      <c r="K194" s="18" t="s">
        <v>924</v>
      </c>
      <c r="L194" s="18" t="s">
        <v>1717</v>
      </c>
      <c r="M194" s="18" t="s">
        <v>1717</v>
      </c>
      <c r="N194" s="3">
        <v>816</v>
      </c>
    </row>
    <row r="195" spans="1:19" ht="103.5" customHeight="1">
      <c r="A195" s="13"/>
      <c r="B195" s="141" t="s">
        <v>1368</v>
      </c>
      <c r="C195" s="104" t="s">
        <v>649</v>
      </c>
      <c r="D195" s="165" t="s">
        <v>871</v>
      </c>
      <c r="E195" s="166"/>
      <c r="F195" s="166">
        <v>3</v>
      </c>
      <c r="G195" s="199" t="s">
        <v>16</v>
      </c>
      <c r="H195" s="170" t="s">
        <v>96</v>
      </c>
      <c r="I195" s="178" t="s">
        <v>19</v>
      </c>
      <c r="J195" s="200">
        <v>44026</v>
      </c>
      <c r="K195" s="172" t="s">
        <v>872</v>
      </c>
      <c r="L195" s="25" t="s">
        <v>58</v>
      </c>
      <c r="M195" s="25"/>
      <c r="N195" s="3">
        <v>816</v>
      </c>
      <c r="O195" s="3">
        <v>7</v>
      </c>
    </row>
    <row r="196" spans="1:19" ht="112.5">
      <c r="A196" s="13"/>
      <c r="B196" s="11" t="s">
        <v>1369</v>
      </c>
      <c r="C196" s="10" t="s">
        <v>2446</v>
      </c>
      <c r="D196" s="10" t="s">
        <v>1937</v>
      </c>
      <c r="E196" s="9"/>
      <c r="F196" s="9" t="s">
        <v>1692</v>
      </c>
      <c r="G196" s="201" t="s">
        <v>16</v>
      </c>
      <c r="H196" s="34" t="s">
        <v>96</v>
      </c>
      <c r="I196" s="9" t="s">
        <v>55</v>
      </c>
      <c r="J196" s="134"/>
      <c r="K196" s="18" t="s">
        <v>2392</v>
      </c>
      <c r="L196" s="124" t="s">
        <v>2393</v>
      </c>
      <c r="M196" s="18"/>
      <c r="N196" s="335" t="s">
        <v>2863</v>
      </c>
      <c r="O196" s="335" t="s">
        <v>2863</v>
      </c>
      <c r="P196" s="335" t="s">
        <v>2863</v>
      </c>
      <c r="Q196" s="335" t="s">
        <v>2863</v>
      </c>
      <c r="R196" s="99" t="s">
        <v>3268</v>
      </c>
    </row>
    <row r="197" spans="1:19" ht="281.25">
      <c r="A197" s="13"/>
      <c r="B197" s="62" t="s">
        <v>2014</v>
      </c>
      <c r="C197" s="62" t="s">
        <v>2015</v>
      </c>
      <c r="D197" s="10" t="s">
        <v>2020</v>
      </c>
      <c r="E197" s="9"/>
      <c r="F197" s="9"/>
      <c r="G197" s="201"/>
      <c r="H197" s="34"/>
      <c r="I197" s="9" t="s">
        <v>2017</v>
      </c>
      <c r="J197" s="71"/>
      <c r="K197" s="18" t="s">
        <v>2018</v>
      </c>
      <c r="L197" s="25"/>
      <c r="M197" s="25" t="s">
        <v>2019</v>
      </c>
      <c r="R197" s="3" t="s">
        <v>2566</v>
      </c>
    </row>
    <row r="198" spans="1:19" ht="168.75">
      <c r="A198" s="13"/>
      <c r="B198" s="10" t="s">
        <v>1635</v>
      </c>
      <c r="C198" s="303" t="s">
        <v>2859</v>
      </c>
      <c r="D198" s="10" t="s">
        <v>1760</v>
      </c>
      <c r="E198" s="9"/>
      <c r="F198" s="9"/>
      <c r="G198" s="201"/>
      <c r="H198" s="34"/>
      <c r="I198" s="9"/>
      <c r="J198" s="134"/>
      <c r="K198" s="18" t="s">
        <v>2281</v>
      </c>
      <c r="L198" s="25" t="s">
        <v>2858</v>
      </c>
      <c r="M198" s="25"/>
    </row>
    <row r="199" spans="1:19" ht="150">
      <c r="A199" s="13"/>
      <c r="B199" s="10" t="s">
        <v>1635</v>
      </c>
      <c r="C199" s="303" t="s">
        <v>2859</v>
      </c>
      <c r="D199" s="10" t="s">
        <v>2282</v>
      </c>
      <c r="E199" s="94"/>
      <c r="F199" s="94"/>
      <c r="G199" s="201" t="s">
        <v>16</v>
      </c>
      <c r="H199" s="34" t="s">
        <v>96</v>
      </c>
      <c r="I199" s="224" t="s">
        <v>571</v>
      </c>
      <c r="J199" s="202"/>
      <c r="K199" s="18" t="s">
        <v>2281</v>
      </c>
      <c r="L199" s="25" t="s">
        <v>2858</v>
      </c>
      <c r="M199" s="25"/>
    </row>
    <row r="200" spans="1:19" ht="171.75" customHeight="1">
      <c r="A200" s="13"/>
      <c r="B200" s="107" t="s">
        <v>1716</v>
      </c>
      <c r="C200" s="223" t="s">
        <v>2857</v>
      </c>
      <c r="D200" s="10" t="s">
        <v>1760</v>
      </c>
      <c r="E200" s="13"/>
      <c r="F200" s="13"/>
      <c r="G200" s="12"/>
      <c r="H200" s="34"/>
      <c r="I200" s="65"/>
      <c r="J200" s="132" t="s">
        <v>873</v>
      </c>
      <c r="K200" s="18" t="s">
        <v>2281</v>
      </c>
      <c r="L200" s="25" t="s">
        <v>2858</v>
      </c>
    </row>
    <row r="201" spans="1:19" ht="171.75" customHeight="1">
      <c r="A201" s="13"/>
      <c r="B201" s="107" t="s">
        <v>1716</v>
      </c>
      <c r="C201" s="223" t="s">
        <v>2857</v>
      </c>
      <c r="D201" s="10" t="s">
        <v>2282</v>
      </c>
      <c r="E201" s="94"/>
      <c r="F201" s="94"/>
      <c r="G201" s="201" t="s">
        <v>16</v>
      </c>
      <c r="H201" s="34" t="s">
        <v>96</v>
      </c>
      <c r="I201" s="224" t="s">
        <v>571</v>
      </c>
      <c r="J201" s="202"/>
      <c r="K201" s="18" t="s">
        <v>2281</v>
      </c>
      <c r="L201" s="25" t="s">
        <v>2858</v>
      </c>
    </row>
    <row r="202" spans="1:19" ht="109.5" customHeight="1">
      <c r="A202" s="13"/>
      <c r="B202" s="11" t="s">
        <v>1370</v>
      </c>
      <c r="C202" s="11" t="s">
        <v>629</v>
      </c>
      <c r="D202" s="10" t="s">
        <v>874</v>
      </c>
      <c r="E202" s="13"/>
      <c r="F202" s="13">
        <v>4</v>
      </c>
      <c r="G202" s="12" t="s">
        <v>16</v>
      </c>
      <c r="H202" s="34" t="s">
        <v>96</v>
      </c>
      <c r="I202" s="177" t="s">
        <v>1566</v>
      </c>
      <c r="J202" s="203" t="s">
        <v>630</v>
      </c>
      <c r="K202" s="18" t="s">
        <v>1914</v>
      </c>
      <c r="L202" s="25" t="s">
        <v>1859</v>
      </c>
      <c r="M202" s="25" t="s">
        <v>1859</v>
      </c>
      <c r="N202" s="99">
        <v>816</v>
      </c>
      <c r="Q202" s="3">
        <v>816</v>
      </c>
      <c r="R202" s="3" t="s">
        <v>3172</v>
      </c>
    </row>
    <row r="203" spans="1:19" ht="109.5" customHeight="1">
      <c r="A203" s="13"/>
      <c r="B203" s="11" t="s">
        <v>1371</v>
      </c>
      <c r="C203" s="11" t="s">
        <v>983</v>
      </c>
      <c r="D203" s="10" t="s">
        <v>888</v>
      </c>
      <c r="E203" s="13"/>
      <c r="F203" s="13"/>
      <c r="G203" s="12"/>
      <c r="H203" s="34"/>
      <c r="I203" s="17" t="s">
        <v>420</v>
      </c>
      <c r="J203" s="203"/>
      <c r="K203" s="14">
        <v>44314</v>
      </c>
      <c r="L203" s="168" t="s">
        <v>163</v>
      </c>
      <c r="R203" s="3" t="s">
        <v>3093</v>
      </c>
    </row>
    <row r="204" spans="1:19" ht="126" customHeight="1">
      <c r="A204" s="13"/>
      <c r="B204" s="10" t="s">
        <v>2231</v>
      </c>
      <c r="C204" s="204" t="s">
        <v>2067</v>
      </c>
      <c r="D204" s="10" t="s">
        <v>2049</v>
      </c>
      <c r="E204" s="13"/>
      <c r="F204" s="13">
        <v>4</v>
      </c>
      <c r="G204" s="12" t="s">
        <v>16</v>
      </c>
      <c r="H204" s="34" t="s">
        <v>96</v>
      </c>
      <c r="I204" s="10" t="s">
        <v>2047</v>
      </c>
      <c r="J204" s="203" t="s">
        <v>875</v>
      </c>
      <c r="K204" s="186" t="s">
        <v>2048</v>
      </c>
      <c r="L204" s="124" t="s">
        <v>1885</v>
      </c>
      <c r="M204" s="20"/>
      <c r="N204" s="3">
        <v>816</v>
      </c>
      <c r="Q204" s="3">
        <v>816</v>
      </c>
      <c r="R204" s="3" t="s">
        <v>3428</v>
      </c>
    </row>
    <row r="205" spans="1:19" ht="126" customHeight="1">
      <c r="A205" s="13"/>
      <c r="B205" s="10" t="s">
        <v>1685</v>
      </c>
      <c r="C205" s="10" t="s">
        <v>1686</v>
      </c>
      <c r="D205" s="10" t="s">
        <v>2198</v>
      </c>
      <c r="E205" s="13"/>
      <c r="F205" s="13">
        <v>1</v>
      </c>
      <c r="G205" s="12"/>
      <c r="H205" s="34"/>
      <c r="I205" s="28" t="s">
        <v>2199</v>
      </c>
      <c r="J205" s="203"/>
      <c r="K205" s="186"/>
      <c r="L205" s="20" t="s">
        <v>1701</v>
      </c>
      <c r="M205" s="20"/>
      <c r="R205" s="162" t="s">
        <v>2832</v>
      </c>
    </row>
    <row r="206" spans="1:19" ht="126" customHeight="1">
      <c r="A206" s="13"/>
      <c r="B206" s="39" t="s">
        <v>2881</v>
      </c>
      <c r="C206" s="62" t="s">
        <v>2882</v>
      </c>
      <c r="D206" s="74" t="s">
        <v>2883</v>
      </c>
      <c r="E206" s="13">
        <v>5</v>
      </c>
      <c r="F206" s="13">
        <v>2</v>
      </c>
      <c r="G206" s="12" t="s">
        <v>16</v>
      </c>
      <c r="H206" s="34" t="s">
        <v>96</v>
      </c>
      <c r="I206" s="17" t="s">
        <v>19</v>
      </c>
      <c r="J206" s="205" t="s">
        <v>898</v>
      </c>
      <c r="K206" s="186" t="s">
        <v>2879</v>
      </c>
      <c r="L206" s="20" t="s">
        <v>2595</v>
      </c>
      <c r="M206" s="20" t="s">
        <v>2595</v>
      </c>
      <c r="N206" s="3">
        <v>816</v>
      </c>
      <c r="O206" s="3">
        <v>816</v>
      </c>
      <c r="R206" s="162" t="s">
        <v>2778</v>
      </c>
    </row>
    <row r="207" spans="1:19" ht="93.75">
      <c r="A207" s="13"/>
      <c r="B207" s="11" t="s">
        <v>3418</v>
      </c>
      <c r="C207" s="11" t="s">
        <v>3419</v>
      </c>
      <c r="D207" s="206" t="s">
        <v>3421</v>
      </c>
      <c r="E207" s="13"/>
      <c r="F207" s="9" t="s">
        <v>2701</v>
      </c>
      <c r="G207" s="12"/>
      <c r="H207" s="34"/>
      <c r="I207" s="17" t="s">
        <v>420</v>
      </c>
      <c r="J207" s="203"/>
      <c r="K207" s="49" t="s">
        <v>1885</v>
      </c>
      <c r="L207" s="330"/>
      <c r="M207" s="162" t="s">
        <v>3374</v>
      </c>
      <c r="N207" s="370" t="s">
        <v>3423</v>
      </c>
      <c r="O207" s="3" t="s">
        <v>964</v>
      </c>
      <c r="P207" s="3" t="s">
        <v>964</v>
      </c>
      <c r="Q207" s="3" t="s">
        <v>964</v>
      </c>
    </row>
    <row r="208" spans="1:19" ht="93.75">
      <c r="A208" s="13"/>
      <c r="B208" s="11" t="s">
        <v>3418</v>
      </c>
      <c r="C208" s="11" t="s">
        <v>3419</v>
      </c>
      <c r="D208" s="206" t="s">
        <v>3424</v>
      </c>
      <c r="E208" s="13"/>
      <c r="F208" s="9"/>
      <c r="G208" s="12"/>
      <c r="H208" s="34"/>
      <c r="I208" s="17"/>
      <c r="J208" s="203"/>
      <c r="K208" s="49" t="s">
        <v>1885</v>
      </c>
      <c r="L208" s="330"/>
      <c r="M208" s="162" t="s">
        <v>3374</v>
      </c>
      <c r="N208" s="370" t="s">
        <v>3425</v>
      </c>
    </row>
    <row r="209" spans="1:18" ht="356.25">
      <c r="A209" s="13"/>
      <c r="B209" s="11" t="s">
        <v>3418</v>
      </c>
      <c r="C209" s="11" t="s">
        <v>3419</v>
      </c>
      <c r="D209" s="206" t="s">
        <v>3426</v>
      </c>
      <c r="E209" s="13"/>
      <c r="F209" s="9"/>
      <c r="G209" s="12"/>
      <c r="H209" s="34"/>
      <c r="I209" s="17"/>
      <c r="J209" s="203"/>
      <c r="K209" s="49" t="s">
        <v>1885</v>
      </c>
      <c r="L209" s="330"/>
      <c r="M209" s="162" t="s">
        <v>3374</v>
      </c>
      <c r="N209" s="370" t="s">
        <v>3423</v>
      </c>
    </row>
    <row r="210" spans="1:18" ht="93.75">
      <c r="A210" s="13"/>
      <c r="B210" s="11" t="s">
        <v>3418</v>
      </c>
      <c r="C210" s="11" t="s">
        <v>3419</v>
      </c>
      <c r="D210" s="206" t="s">
        <v>3427</v>
      </c>
      <c r="E210" s="13"/>
      <c r="F210" s="9"/>
      <c r="G210" s="12"/>
      <c r="H210" s="34"/>
      <c r="I210" s="17"/>
      <c r="J210" s="203"/>
      <c r="K210" s="49" t="s">
        <v>1885</v>
      </c>
      <c r="L210" s="330"/>
      <c r="M210" s="162" t="s">
        <v>3374</v>
      </c>
      <c r="N210" s="370" t="s">
        <v>3423</v>
      </c>
    </row>
    <row r="211" spans="1:18" ht="168.75">
      <c r="A211" s="13"/>
      <c r="B211" s="11" t="s">
        <v>1372</v>
      </c>
      <c r="C211" s="11" t="s">
        <v>1502</v>
      </c>
      <c r="D211" s="206" t="s">
        <v>2900</v>
      </c>
      <c r="E211" s="13"/>
      <c r="F211" s="9"/>
      <c r="G211" s="12"/>
      <c r="H211" s="34"/>
      <c r="I211" s="17"/>
      <c r="J211" s="203"/>
      <c r="K211" s="14"/>
      <c r="L211" s="162" t="s">
        <v>3422</v>
      </c>
    </row>
    <row r="212" spans="1:18" ht="109.5" customHeight="1">
      <c r="A212" s="13"/>
      <c r="B212" s="11" t="s">
        <v>1575</v>
      </c>
      <c r="C212" s="11" t="s">
        <v>902</v>
      </c>
      <c r="D212" s="10" t="s">
        <v>2873</v>
      </c>
      <c r="E212" s="13"/>
      <c r="F212" s="13"/>
      <c r="G212" s="12"/>
      <c r="H212" s="34"/>
      <c r="I212" s="17" t="s">
        <v>420</v>
      </c>
      <c r="J212" s="203" t="s">
        <v>614</v>
      </c>
      <c r="K212" s="18" t="s">
        <v>2869</v>
      </c>
      <c r="L212" s="25" t="s">
        <v>1534</v>
      </c>
      <c r="M212" s="25" t="s">
        <v>2595</v>
      </c>
      <c r="N212" s="3" t="s">
        <v>2661</v>
      </c>
      <c r="R212" s="3" t="s">
        <v>3177</v>
      </c>
    </row>
    <row r="213" spans="1:18" ht="367.9" customHeight="1">
      <c r="A213" s="13"/>
      <c r="B213" s="11" t="s">
        <v>2068</v>
      </c>
      <c r="C213" s="11" t="s">
        <v>2692</v>
      </c>
      <c r="D213" s="10" t="s">
        <v>2069</v>
      </c>
      <c r="E213" s="166"/>
      <c r="F213" s="166"/>
      <c r="G213" s="105"/>
      <c r="H213" s="170"/>
      <c r="I213" s="178" t="s">
        <v>420</v>
      </c>
      <c r="J213" s="200"/>
      <c r="K213" s="14">
        <v>45960</v>
      </c>
      <c r="L213" s="25" t="s">
        <v>2170</v>
      </c>
      <c r="M213" s="342">
        <v>46719</v>
      </c>
    </row>
    <row r="214" spans="1:18" ht="367.9" customHeight="1">
      <c r="A214" s="13"/>
      <c r="B214" s="11" t="s">
        <v>2068</v>
      </c>
      <c r="C214" s="11" t="s">
        <v>2357</v>
      </c>
      <c r="D214" s="10" t="s">
        <v>2359</v>
      </c>
      <c r="E214" s="13"/>
      <c r="F214" s="13"/>
      <c r="G214" s="12"/>
      <c r="H214" s="34"/>
      <c r="I214" s="17" t="s">
        <v>420</v>
      </c>
      <c r="J214" s="134"/>
      <c r="K214" s="18" t="s">
        <v>2185</v>
      </c>
      <c r="L214" s="18"/>
      <c r="M214" s="18" t="s">
        <v>1906</v>
      </c>
    </row>
    <row r="215" spans="1:18" ht="367.9" customHeight="1">
      <c r="A215" s="13"/>
      <c r="B215" s="11" t="s">
        <v>2068</v>
      </c>
      <c r="C215" s="11" t="s">
        <v>2358</v>
      </c>
      <c r="D215" s="10" t="s">
        <v>2359</v>
      </c>
      <c r="E215" s="13"/>
      <c r="F215" s="13"/>
      <c r="G215" s="12"/>
      <c r="H215" s="34"/>
      <c r="I215" s="17" t="s">
        <v>420</v>
      </c>
      <c r="J215" s="134"/>
      <c r="K215" s="18" t="s">
        <v>2185</v>
      </c>
      <c r="L215" s="18"/>
      <c r="M215" s="18" t="s">
        <v>1906</v>
      </c>
    </row>
    <row r="216" spans="1:18" ht="109.5" customHeight="1">
      <c r="A216" s="13"/>
      <c r="B216" s="62" t="s">
        <v>3125</v>
      </c>
      <c r="C216" s="62" t="s">
        <v>2953</v>
      </c>
      <c r="D216" s="93" t="s">
        <v>2955</v>
      </c>
      <c r="E216" s="305">
        <v>2</v>
      </c>
      <c r="F216" s="305">
        <v>3</v>
      </c>
      <c r="G216" s="304" t="s">
        <v>16</v>
      </c>
      <c r="H216" s="321" t="s">
        <v>96</v>
      </c>
      <c r="I216" s="65" t="s">
        <v>19</v>
      </c>
      <c r="J216" s="202" t="s">
        <v>876</v>
      </c>
      <c r="K216" s="307" t="s">
        <v>2956</v>
      </c>
      <c r="L216" s="25" t="s">
        <v>2845</v>
      </c>
      <c r="M216" s="25" t="s">
        <v>2845</v>
      </c>
      <c r="N216" s="3">
        <v>43276</v>
      </c>
      <c r="P216" s="3">
        <v>43276</v>
      </c>
      <c r="R216" s="305">
        <v>2</v>
      </c>
    </row>
    <row r="217" spans="1:18" ht="240.75" customHeight="1">
      <c r="A217" s="13"/>
      <c r="B217" s="11" t="s">
        <v>3125</v>
      </c>
      <c r="C217" s="11" t="s">
        <v>2954</v>
      </c>
      <c r="D217" s="93" t="s">
        <v>2955</v>
      </c>
      <c r="E217" s="13">
        <v>2</v>
      </c>
      <c r="F217" s="13">
        <v>3</v>
      </c>
      <c r="G217" s="12" t="s">
        <v>16</v>
      </c>
      <c r="H217" s="34" t="s">
        <v>96</v>
      </c>
      <c r="I217" s="17" t="s">
        <v>19</v>
      </c>
      <c r="J217" s="203" t="s">
        <v>876</v>
      </c>
      <c r="K217" s="307" t="s">
        <v>2956</v>
      </c>
      <c r="L217" s="25" t="s">
        <v>2845</v>
      </c>
      <c r="M217" s="25" t="s">
        <v>2845</v>
      </c>
      <c r="N217" s="3">
        <v>43276</v>
      </c>
      <c r="P217" s="3">
        <v>43276</v>
      </c>
      <c r="R217" s="13">
        <v>2</v>
      </c>
    </row>
    <row r="218" spans="1:18" s="8" customFormat="1" ht="225">
      <c r="A218" s="9">
        <v>46</v>
      </c>
      <c r="B218" s="11" t="s">
        <v>1796</v>
      </c>
      <c r="C218" s="165" t="s">
        <v>1852</v>
      </c>
      <c r="D218" s="66" t="s">
        <v>1416</v>
      </c>
      <c r="E218" s="12"/>
      <c r="F218" s="12">
        <v>3</v>
      </c>
      <c r="G218" s="12" t="s">
        <v>16</v>
      </c>
      <c r="H218" s="34" t="s">
        <v>96</v>
      </c>
      <c r="I218" s="75" t="s">
        <v>2306</v>
      </c>
      <c r="J218" s="11"/>
      <c r="K218" s="122" t="s">
        <v>1766</v>
      </c>
      <c r="L218" s="120" t="s">
        <v>2305</v>
      </c>
      <c r="M218" s="120" t="s">
        <v>2305</v>
      </c>
      <c r="N218" s="8" t="s">
        <v>2427</v>
      </c>
      <c r="O218" s="8" t="s">
        <v>2427</v>
      </c>
      <c r="P218" s="8" t="s">
        <v>2427</v>
      </c>
      <c r="Q218" s="8" t="s">
        <v>2427</v>
      </c>
      <c r="R218" s="3" t="s">
        <v>3127</v>
      </c>
    </row>
    <row r="219" spans="1:18" s="131" customFormat="1" ht="75">
      <c r="A219" s="234"/>
      <c r="B219" s="261" t="s">
        <v>1373</v>
      </c>
      <c r="C219" s="270" t="s">
        <v>356</v>
      </c>
      <c r="D219" s="271" t="s">
        <v>1078</v>
      </c>
      <c r="E219" s="272"/>
      <c r="F219" s="272"/>
      <c r="G219" s="272"/>
      <c r="H219" s="272"/>
      <c r="I219" s="273" t="s">
        <v>571</v>
      </c>
      <c r="J219" s="272"/>
      <c r="K219" s="274" t="s">
        <v>1077</v>
      </c>
      <c r="L219" s="254" t="s">
        <v>749</v>
      </c>
      <c r="M219" s="254"/>
      <c r="N219" s="131" t="s">
        <v>877</v>
      </c>
      <c r="R219" s="275" t="s">
        <v>2107</v>
      </c>
    </row>
    <row r="220" spans="1:18" ht="393.75">
      <c r="B220" s="165" t="s">
        <v>3257</v>
      </c>
      <c r="C220" s="10" t="s">
        <v>1841</v>
      </c>
      <c r="D220" s="11" t="s">
        <v>1844</v>
      </c>
      <c r="E220" s="178"/>
      <c r="F220" s="9" t="s">
        <v>2701</v>
      </c>
      <c r="G220" s="178"/>
      <c r="H220" s="178"/>
      <c r="I220" s="178" t="s">
        <v>611</v>
      </c>
      <c r="J220" s="178"/>
      <c r="K220" s="53" t="s">
        <v>1842</v>
      </c>
      <c r="L220" s="226" t="s">
        <v>1843</v>
      </c>
      <c r="N220" s="3" t="s">
        <v>1512</v>
      </c>
      <c r="O220" s="3" t="s">
        <v>1512</v>
      </c>
      <c r="P220" s="3" t="s">
        <v>1512</v>
      </c>
      <c r="Q220" s="3" t="s">
        <v>1512</v>
      </c>
    </row>
    <row r="221" spans="1:18" ht="393.75">
      <c r="B221" s="11" t="s">
        <v>3256</v>
      </c>
      <c r="C221" s="10" t="s">
        <v>1840</v>
      </c>
      <c r="D221" s="11" t="s">
        <v>1844</v>
      </c>
      <c r="E221" s="105"/>
      <c r="F221" s="105"/>
      <c r="G221" s="71" t="s">
        <v>16</v>
      </c>
      <c r="H221" s="167" t="s">
        <v>571</v>
      </c>
      <c r="I221" s="10" t="s">
        <v>19</v>
      </c>
      <c r="J221" s="9" t="s">
        <v>718</v>
      </c>
      <c r="K221" s="53" t="s">
        <v>1842</v>
      </c>
      <c r="L221" s="226" t="s">
        <v>1843</v>
      </c>
    </row>
    <row r="222" spans="1:18" s="131" customFormat="1" ht="150">
      <c r="A222" s="234"/>
      <c r="B222" s="60" t="s">
        <v>1551</v>
      </c>
      <c r="C222" s="60" t="s">
        <v>1507</v>
      </c>
      <c r="D222" s="60" t="s">
        <v>1508</v>
      </c>
      <c r="E222" s="266"/>
      <c r="F222" s="266">
        <v>2</v>
      </c>
      <c r="G222" s="244" t="s">
        <v>16</v>
      </c>
      <c r="H222" s="239" t="s">
        <v>96</v>
      </c>
      <c r="I222" s="237" t="s">
        <v>19</v>
      </c>
      <c r="J222" s="266"/>
      <c r="K222" s="267" t="s">
        <v>1509</v>
      </c>
      <c r="L222" s="254" t="s">
        <v>889</v>
      </c>
      <c r="M222" s="268"/>
      <c r="O222" s="131">
        <v>816</v>
      </c>
      <c r="R222" s="131" t="s">
        <v>2093</v>
      </c>
    </row>
    <row r="223" spans="1:18" ht="356.25">
      <c r="A223" s="13"/>
      <c r="B223" s="11" t="s">
        <v>1699</v>
      </c>
      <c r="C223" s="10" t="s">
        <v>1702</v>
      </c>
      <c r="D223" s="11" t="s">
        <v>1704</v>
      </c>
      <c r="E223" s="37"/>
      <c r="F223" s="37"/>
      <c r="G223" s="37" t="s">
        <v>16</v>
      </c>
      <c r="H223" s="217" t="s">
        <v>96</v>
      </c>
      <c r="I223" s="24" t="s">
        <v>19</v>
      </c>
      <c r="J223" s="218"/>
      <c r="K223" s="76" t="s">
        <v>1693</v>
      </c>
      <c r="L223" s="219" t="s">
        <v>1701</v>
      </c>
      <c r="M223" s="3"/>
    </row>
    <row r="224" spans="1:18" ht="281.25">
      <c r="B224" s="103" t="s">
        <v>1699</v>
      </c>
      <c r="C224" s="165" t="s">
        <v>1703</v>
      </c>
      <c r="D224" s="103" t="s">
        <v>1704</v>
      </c>
      <c r="E224" s="163"/>
      <c r="F224" s="163"/>
      <c r="G224" s="163" t="s">
        <v>16</v>
      </c>
      <c r="H224" s="301" t="s">
        <v>96</v>
      </c>
      <c r="I224" s="215" t="s">
        <v>19</v>
      </c>
      <c r="J224" s="220"/>
      <c r="K224" s="221" t="s">
        <v>1693</v>
      </c>
      <c r="L224" s="219" t="s">
        <v>1701</v>
      </c>
      <c r="M224" s="3"/>
    </row>
    <row r="225" spans="2:18">
      <c r="B225" s="9" t="s">
        <v>1980</v>
      </c>
      <c r="C225" s="9"/>
      <c r="D225" s="11"/>
      <c r="E225" s="13"/>
      <c r="F225" s="13"/>
      <c r="G225" s="13"/>
      <c r="H225" s="13"/>
      <c r="I225" s="13" t="s">
        <v>1981</v>
      </c>
      <c r="J225" s="13"/>
      <c r="K225" s="14"/>
      <c r="L225" s="14"/>
      <c r="M225" s="3"/>
    </row>
    <row r="226" spans="2:18" ht="93.75">
      <c r="B226" s="148" t="s">
        <v>2222</v>
      </c>
      <c r="C226" s="148" t="s">
        <v>2223</v>
      </c>
      <c r="D226" s="103" t="s">
        <v>2224</v>
      </c>
      <c r="E226" s="166"/>
      <c r="F226" s="166"/>
      <c r="G226" s="166"/>
      <c r="H226" s="166"/>
      <c r="I226" s="166" t="s">
        <v>2225</v>
      </c>
      <c r="J226" s="166"/>
      <c r="K226" s="172" t="s">
        <v>2226</v>
      </c>
      <c r="L226" s="172" t="s">
        <v>1632</v>
      </c>
      <c r="R226" s="3" t="s">
        <v>3145</v>
      </c>
    </row>
    <row r="227" spans="2:18" ht="99">
      <c r="B227" s="302" t="s">
        <v>2227</v>
      </c>
      <c r="C227" s="302" t="s">
        <v>2228</v>
      </c>
      <c r="D227" s="9" t="s">
        <v>2230</v>
      </c>
      <c r="E227" s="9"/>
      <c r="F227" s="9"/>
      <c r="G227" s="12"/>
      <c r="H227" s="9"/>
      <c r="I227" s="17" t="s">
        <v>571</v>
      </c>
      <c r="J227" s="10"/>
      <c r="K227" s="18" t="s">
        <v>2226</v>
      </c>
      <c r="L227" s="19"/>
      <c r="M227" s="19" t="s">
        <v>2229</v>
      </c>
    </row>
    <row r="228" spans="2:18" ht="131.25">
      <c r="B228" s="9" t="s">
        <v>2235</v>
      </c>
      <c r="C228" s="9" t="s">
        <v>2236</v>
      </c>
      <c r="D228" s="11" t="s">
        <v>2069</v>
      </c>
      <c r="E228" s="13"/>
      <c r="F228" s="13"/>
      <c r="G228" s="13"/>
      <c r="H228" s="13"/>
      <c r="I228" s="17" t="s">
        <v>571</v>
      </c>
      <c r="J228" s="13"/>
      <c r="K228" s="18" t="s">
        <v>1709</v>
      </c>
      <c r="L228" s="14"/>
      <c r="M228" s="18" t="s">
        <v>2237</v>
      </c>
    </row>
    <row r="229" spans="2:18" ht="131.25">
      <c r="B229" s="9" t="s">
        <v>2256</v>
      </c>
      <c r="C229" s="9" t="s">
        <v>2257</v>
      </c>
      <c r="D229" s="288" t="s">
        <v>2438</v>
      </c>
      <c r="E229" s="13"/>
      <c r="F229" s="9" t="s">
        <v>2701</v>
      </c>
      <c r="G229" s="13"/>
      <c r="H229" s="13"/>
      <c r="I229" s="13" t="s">
        <v>2327</v>
      </c>
      <c r="J229" s="13"/>
      <c r="K229" s="18" t="s">
        <v>2255</v>
      </c>
      <c r="L229" s="18" t="s">
        <v>2258</v>
      </c>
      <c r="M229" s="14"/>
      <c r="N229" s="3" t="s">
        <v>59</v>
      </c>
      <c r="O229" s="3" t="s">
        <v>59</v>
      </c>
      <c r="P229" s="3" t="s">
        <v>59</v>
      </c>
      <c r="Q229" s="3" t="s">
        <v>59</v>
      </c>
      <c r="R229" s="99" t="s">
        <v>2830</v>
      </c>
    </row>
    <row r="230" spans="2:18" ht="168.75">
      <c r="B230" s="9" t="s">
        <v>2256</v>
      </c>
      <c r="C230" s="9" t="s">
        <v>2257</v>
      </c>
      <c r="D230" s="288" t="s">
        <v>2415</v>
      </c>
      <c r="E230" s="13"/>
      <c r="F230" s="13"/>
      <c r="G230" s="13"/>
      <c r="H230" s="13"/>
      <c r="I230" s="13"/>
      <c r="J230" s="13"/>
      <c r="K230" s="18"/>
      <c r="L230" s="18"/>
      <c r="M230" s="14"/>
      <c r="R230" s="3" t="s">
        <v>2830</v>
      </c>
    </row>
    <row r="231" spans="2:18" ht="75">
      <c r="B231" s="9" t="s">
        <v>2256</v>
      </c>
      <c r="C231" s="9" t="s">
        <v>2257</v>
      </c>
      <c r="D231" s="288" t="s">
        <v>2416</v>
      </c>
      <c r="E231" s="13"/>
      <c r="F231" s="13"/>
      <c r="G231" s="13"/>
      <c r="H231" s="9" t="s">
        <v>2417</v>
      </c>
      <c r="I231" s="13"/>
      <c r="J231" s="13"/>
      <c r="K231" s="18" t="s">
        <v>2418</v>
      </c>
      <c r="L231" s="18"/>
      <c r="M231" s="14"/>
      <c r="R231" s="3" t="s">
        <v>2830</v>
      </c>
    </row>
    <row r="232" spans="2:18" ht="93.75">
      <c r="B232" s="9" t="s">
        <v>2268</v>
      </c>
      <c r="C232" s="9" t="s">
        <v>2269</v>
      </c>
      <c r="D232" s="11" t="s">
        <v>1605</v>
      </c>
      <c r="E232" s="13"/>
      <c r="F232" s="13"/>
      <c r="G232" s="13"/>
      <c r="H232" s="13"/>
      <c r="I232" s="17" t="s">
        <v>571</v>
      </c>
      <c r="J232" s="13"/>
      <c r="K232" s="18" t="s">
        <v>2266</v>
      </c>
      <c r="L232" s="18"/>
      <c r="M232" s="18" t="s">
        <v>2270</v>
      </c>
      <c r="R232" s="3" t="s">
        <v>3055</v>
      </c>
    </row>
    <row r="233" spans="2:18" ht="112.5">
      <c r="B233" s="9" t="s">
        <v>2311</v>
      </c>
      <c r="C233" s="9" t="s">
        <v>2312</v>
      </c>
      <c r="D233" s="11" t="s">
        <v>2313</v>
      </c>
      <c r="E233" s="13"/>
      <c r="F233" s="13">
        <v>1</v>
      </c>
      <c r="G233" s="13"/>
      <c r="H233" s="13"/>
      <c r="I233" s="13" t="s">
        <v>2314</v>
      </c>
      <c r="J233" s="13"/>
      <c r="K233" s="18" t="s">
        <v>2315</v>
      </c>
      <c r="L233" s="18" t="s">
        <v>1632</v>
      </c>
      <c r="M233" s="14"/>
      <c r="N233" s="3">
        <v>816</v>
      </c>
      <c r="R233" s="162" t="s">
        <v>2571</v>
      </c>
    </row>
    <row r="234" spans="2:18" ht="131.25">
      <c r="B234" s="9" t="s">
        <v>2333</v>
      </c>
      <c r="C234" s="9" t="s">
        <v>2334</v>
      </c>
      <c r="D234" s="11" t="s">
        <v>2330</v>
      </c>
      <c r="E234" s="13"/>
      <c r="F234" s="13">
        <v>1</v>
      </c>
      <c r="G234" s="13"/>
      <c r="H234" s="13"/>
      <c r="I234" s="13" t="s">
        <v>2314</v>
      </c>
      <c r="J234" s="13"/>
      <c r="K234" s="18" t="s">
        <v>2335</v>
      </c>
      <c r="L234" s="18"/>
      <c r="M234" s="18" t="s">
        <v>1632</v>
      </c>
      <c r="N234" s="3">
        <v>816</v>
      </c>
      <c r="R234" s="13">
        <v>5</v>
      </c>
    </row>
    <row r="235" spans="2:18" ht="112.5">
      <c r="B235" s="9" t="s">
        <v>2320</v>
      </c>
      <c r="C235" s="9" t="s">
        <v>2321</v>
      </c>
      <c r="D235" s="11" t="s">
        <v>2330</v>
      </c>
      <c r="E235" s="13"/>
      <c r="F235" s="13">
        <v>1</v>
      </c>
      <c r="G235" s="13"/>
      <c r="H235" s="13"/>
      <c r="I235" s="9" t="s">
        <v>2336</v>
      </c>
      <c r="J235" s="13"/>
      <c r="K235" s="18" t="s">
        <v>2335</v>
      </c>
      <c r="L235" s="18"/>
      <c r="M235" s="18" t="s">
        <v>1632</v>
      </c>
      <c r="N235" s="3">
        <v>816</v>
      </c>
      <c r="R235" s="13" t="s">
        <v>3144</v>
      </c>
    </row>
    <row r="236" spans="2:18" ht="112.5">
      <c r="B236" s="148" t="s">
        <v>2283</v>
      </c>
      <c r="C236" s="148" t="s">
        <v>2991</v>
      </c>
      <c r="D236" s="103" t="s">
        <v>3048</v>
      </c>
      <c r="E236" s="166"/>
      <c r="F236" s="166"/>
      <c r="G236" s="166"/>
      <c r="H236" s="166"/>
      <c r="I236" s="166" t="s">
        <v>420</v>
      </c>
      <c r="J236" s="166"/>
      <c r="K236" s="172" t="s">
        <v>2338</v>
      </c>
      <c r="L236" s="172" t="s">
        <v>2285</v>
      </c>
      <c r="M236" s="172" t="s">
        <v>2992</v>
      </c>
      <c r="Q236" s="3" t="s">
        <v>2427</v>
      </c>
      <c r="R236" s="162" t="s">
        <v>2441</v>
      </c>
    </row>
    <row r="237" spans="2:18" ht="75">
      <c r="B237" s="9" t="s">
        <v>2371</v>
      </c>
      <c r="C237" s="9" t="s">
        <v>3216</v>
      </c>
      <c r="D237" s="103" t="s">
        <v>2372</v>
      </c>
      <c r="E237" s="13"/>
      <c r="F237" s="13"/>
      <c r="G237" s="13"/>
      <c r="H237" s="13"/>
      <c r="I237" s="166" t="s">
        <v>420</v>
      </c>
      <c r="J237" s="13"/>
      <c r="K237" s="18" t="s">
        <v>3213</v>
      </c>
      <c r="L237" s="18" t="s">
        <v>2803</v>
      </c>
      <c r="M237" s="18" t="s">
        <v>2803</v>
      </c>
    </row>
    <row r="238" spans="2:18" ht="37.5">
      <c r="B238" s="9" t="s">
        <v>2374</v>
      </c>
      <c r="C238" s="9" t="s">
        <v>2375</v>
      </c>
      <c r="D238" s="11" t="s">
        <v>2372</v>
      </c>
      <c r="E238" s="13">
        <v>5</v>
      </c>
      <c r="F238" s="13">
        <v>1</v>
      </c>
      <c r="G238" s="13"/>
      <c r="H238" s="13"/>
      <c r="I238" s="13" t="s">
        <v>2376</v>
      </c>
      <c r="J238" s="13"/>
      <c r="K238" s="18" t="s">
        <v>2369</v>
      </c>
      <c r="L238" s="18" t="s">
        <v>1906</v>
      </c>
      <c r="M238" s="14"/>
      <c r="N238" s="3" t="s">
        <v>119</v>
      </c>
    </row>
    <row r="239" spans="2:18" ht="150">
      <c r="B239" s="107" t="s">
        <v>2380</v>
      </c>
      <c r="C239" s="136" t="s">
        <v>2729</v>
      </c>
      <c r="D239" s="136" t="s">
        <v>2381</v>
      </c>
      <c r="E239" s="13"/>
      <c r="F239" s="13"/>
      <c r="G239" s="13"/>
      <c r="H239" s="13"/>
      <c r="I239" s="13" t="s">
        <v>571</v>
      </c>
      <c r="J239" s="13"/>
      <c r="K239" s="14">
        <v>45979</v>
      </c>
      <c r="L239" s="18" t="s">
        <v>1634</v>
      </c>
      <c r="M239" s="342">
        <v>46101</v>
      </c>
      <c r="R239" s="3" t="s">
        <v>3051</v>
      </c>
    </row>
    <row r="240" spans="2:18" ht="112.5">
      <c r="B240" s="9" t="s">
        <v>2405</v>
      </c>
      <c r="C240" s="9" t="s">
        <v>2406</v>
      </c>
      <c r="D240" s="11" t="s">
        <v>2407</v>
      </c>
      <c r="E240" s="13"/>
      <c r="F240" s="13">
        <v>1</v>
      </c>
      <c r="G240" s="13"/>
      <c r="H240" s="13"/>
      <c r="I240" s="9" t="s">
        <v>2410</v>
      </c>
      <c r="J240" s="13"/>
      <c r="K240" s="18" t="s">
        <v>2404</v>
      </c>
      <c r="L240" s="18" t="s">
        <v>1784</v>
      </c>
      <c r="M240" s="18" t="s">
        <v>1784</v>
      </c>
      <c r="N240" s="3">
        <v>816</v>
      </c>
      <c r="R240" s="13" t="s">
        <v>3169</v>
      </c>
    </row>
    <row r="241" spans="2:18" ht="112.5">
      <c r="B241" s="9" t="s">
        <v>2244</v>
      </c>
      <c r="C241" s="9" t="s">
        <v>2430</v>
      </c>
      <c r="D241" s="11" t="s">
        <v>2020</v>
      </c>
      <c r="E241" s="13"/>
      <c r="F241" s="13">
        <v>4</v>
      </c>
      <c r="G241" s="13"/>
      <c r="H241" s="13"/>
      <c r="I241" s="13" t="s">
        <v>2431</v>
      </c>
      <c r="J241" s="13"/>
      <c r="K241" s="18" t="s">
        <v>2432</v>
      </c>
      <c r="L241" s="18" t="s">
        <v>2249</v>
      </c>
      <c r="M241" s="14"/>
      <c r="Q241" s="3">
        <v>816</v>
      </c>
      <c r="R241" s="330" t="s">
        <v>2808</v>
      </c>
    </row>
    <row r="242" spans="2:18" ht="112.5">
      <c r="B242" s="136" t="s">
        <v>2469</v>
      </c>
      <c r="C242" s="136" t="s">
        <v>2470</v>
      </c>
      <c r="D242" s="136" t="s">
        <v>2471</v>
      </c>
      <c r="E242" s="13"/>
      <c r="F242" s="9" t="s">
        <v>2701</v>
      </c>
      <c r="G242" s="13"/>
      <c r="H242" s="13"/>
      <c r="I242" s="13" t="s">
        <v>2327</v>
      </c>
      <c r="J242" s="13"/>
      <c r="K242" s="18" t="s">
        <v>2468</v>
      </c>
      <c r="L242" s="18" t="s">
        <v>1634</v>
      </c>
      <c r="M242" s="14"/>
      <c r="N242" s="3">
        <v>816</v>
      </c>
      <c r="O242" s="3">
        <v>816</v>
      </c>
      <c r="P242" s="3">
        <v>816</v>
      </c>
      <c r="Q242" s="3">
        <v>816</v>
      </c>
      <c r="R242" s="330" t="s">
        <v>2535</v>
      </c>
    </row>
    <row r="243" spans="2:18" ht="131.25">
      <c r="B243" s="9" t="s">
        <v>2481</v>
      </c>
      <c r="C243" s="9" t="s">
        <v>2482</v>
      </c>
      <c r="D243" s="11" t="s">
        <v>2483</v>
      </c>
      <c r="E243" s="13"/>
      <c r="F243" s="13"/>
      <c r="G243" s="13"/>
      <c r="H243" s="13"/>
      <c r="I243" s="13" t="s">
        <v>571</v>
      </c>
      <c r="J243" s="13"/>
      <c r="K243" s="18" t="s">
        <v>2484</v>
      </c>
      <c r="L243" s="18" t="s">
        <v>1784</v>
      </c>
      <c r="M243" s="14"/>
      <c r="R243" s="3" t="s">
        <v>3168</v>
      </c>
    </row>
    <row r="244" spans="2:18" ht="75">
      <c r="B244" s="136" t="s">
        <v>2491</v>
      </c>
      <c r="C244" s="136" t="s">
        <v>2492</v>
      </c>
      <c r="D244" s="136" t="s">
        <v>2493</v>
      </c>
      <c r="E244" s="13">
        <v>5</v>
      </c>
      <c r="F244" s="13">
        <v>1</v>
      </c>
      <c r="G244" s="13"/>
      <c r="H244" s="13"/>
      <c r="I244" s="13" t="s">
        <v>2314</v>
      </c>
      <c r="J244" s="13"/>
      <c r="K244" s="18" t="s">
        <v>2484</v>
      </c>
      <c r="L244" s="14"/>
      <c r="M244" s="18" t="s">
        <v>2379</v>
      </c>
    </row>
    <row r="245" spans="2:18" ht="112.5">
      <c r="B245" s="9" t="s">
        <v>2497</v>
      </c>
      <c r="C245" s="9" t="s">
        <v>2498</v>
      </c>
      <c r="D245" s="11" t="s">
        <v>2499</v>
      </c>
      <c r="E245" s="13"/>
      <c r="F245" s="13">
        <v>1</v>
      </c>
      <c r="G245" s="13"/>
      <c r="H245" s="13"/>
      <c r="I245" s="13" t="s">
        <v>2314</v>
      </c>
      <c r="J245" s="13"/>
      <c r="K245" s="18" t="s">
        <v>2500</v>
      </c>
      <c r="L245" s="18" t="s">
        <v>1784</v>
      </c>
      <c r="M245" s="14"/>
      <c r="N245" s="3">
        <v>816</v>
      </c>
      <c r="R245" s="3" t="s">
        <v>3204</v>
      </c>
    </row>
    <row r="246" spans="2:18" ht="93.75">
      <c r="B246" s="10" t="s">
        <v>2512</v>
      </c>
      <c r="C246" s="10" t="s">
        <v>2513</v>
      </c>
      <c r="D246" s="10" t="s">
        <v>2514</v>
      </c>
      <c r="E246" s="13"/>
      <c r="F246" s="13"/>
      <c r="G246" s="13"/>
      <c r="H246" s="13"/>
      <c r="I246" s="13" t="s">
        <v>571</v>
      </c>
      <c r="J246" s="13"/>
      <c r="K246" s="18" t="s">
        <v>2511</v>
      </c>
      <c r="L246" s="18" t="s">
        <v>1859</v>
      </c>
      <c r="M246" s="18" t="s">
        <v>1859</v>
      </c>
      <c r="R246" s="3" t="s">
        <v>3168</v>
      </c>
    </row>
    <row r="247" spans="2:18" ht="150">
      <c r="B247" s="11" t="s">
        <v>2549</v>
      </c>
      <c r="C247" s="11" t="s">
        <v>2550</v>
      </c>
      <c r="D247" s="11" t="s">
        <v>2555</v>
      </c>
      <c r="E247" s="13">
        <v>7</v>
      </c>
      <c r="F247" s="13">
        <v>4</v>
      </c>
      <c r="G247" s="13"/>
      <c r="H247" s="13"/>
      <c r="I247" s="9" t="s">
        <v>2552</v>
      </c>
      <c r="J247" s="13"/>
      <c r="K247" s="18" t="s">
        <v>2553</v>
      </c>
      <c r="L247" s="18" t="s">
        <v>2554</v>
      </c>
      <c r="M247" s="18" t="s">
        <v>2554</v>
      </c>
      <c r="Q247" s="3">
        <v>816</v>
      </c>
    </row>
    <row r="248" spans="2:18" ht="75">
      <c r="B248" s="136" t="s">
        <v>2599</v>
      </c>
      <c r="C248" s="136" t="s">
        <v>2600</v>
      </c>
      <c r="D248" s="136" t="s">
        <v>2601</v>
      </c>
      <c r="E248" s="13"/>
      <c r="F248" s="13"/>
      <c r="G248" s="13"/>
      <c r="H248" s="13"/>
      <c r="I248" s="13" t="s">
        <v>571</v>
      </c>
      <c r="J248" s="13"/>
      <c r="K248" s="18" t="s">
        <v>2728</v>
      </c>
      <c r="L248" s="18" t="s">
        <v>1885</v>
      </c>
      <c r="M248" s="18" t="s">
        <v>1885</v>
      </c>
      <c r="R248" s="3" t="s">
        <v>3440</v>
      </c>
    </row>
    <row r="249" spans="2:18" ht="93.75">
      <c r="B249" s="9" t="s">
        <v>2615</v>
      </c>
      <c r="C249" s="9" t="s">
        <v>2616</v>
      </c>
      <c r="D249" s="11" t="s">
        <v>2069</v>
      </c>
      <c r="E249" s="13"/>
      <c r="F249" s="13">
        <v>2</v>
      </c>
      <c r="G249" s="13"/>
      <c r="H249" s="13"/>
      <c r="I249" s="9" t="s">
        <v>2552</v>
      </c>
      <c r="J249" s="13"/>
      <c r="K249" s="18" t="s">
        <v>2617</v>
      </c>
      <c r="L249" s="18" t="s">
        <v>1885</v>
      </c>
      <c r="M249" s="14"/>
      <c r="O249" s="3" t="s">
        <v>2618</v>
      </c>
      <c r="R249" s="3" t="s">
        <v>3349</v>
      </c>
    </row>
    <row r="250" spans="2:18" ht="93.75">
      <c r="B250" s="9" t="s">
        <v>2710</v>
      </c>
      <c r="C250" s="9" t="s">
        <v>2711</v>
      </c>
      <c r="D250" s="11" t="s">
        <v>2712</v>
      </c>
      <c r="E250" s="13"/>
      <c r="F250" s="13"/>
      <c r="G250" s="13"/>
      <c r="H250" s="13"/>
      <c r="I250" s="9" t="s">
        <v>571</v>
      </c>
      <c r="J250" s="13"/>
      <c r="K250" s="18" t="s">
        <v>2713</v>
      </c>
      <c r="L250" s="18"/>
      <c r="M250" s="18" t="s">
        <v>2034</v>
      </c>
      <c r="R250" s="3" t="s">
        <v>2988</v>
      </c>
    </row>
    <row r="251" spans="2:18" ht="112.5">
      <c r="B251" s="11" t="s">
        <v>2773</v>
      </c>
      <c r="C251" s="10" t="s">
        <v>2910</v>
      </c>
      <c r="D251" s="351" t="s">
        <v>2911</v>
      </c>
      <c r="E251" s="13">
        <v>5</v>
      </c>
      <c r="F251" s="13">
        <v>3</v>
      </c>
      <c r="G251" s="13"/>
      <c r="H251" s="13"/>
      <c r="I251" s="13" t="s">
        <v>2774</v>
      </c>
      <c r="J251" s="13"/>
      <c r="K251" s="14">
        <v>45990</v>
      </c>
      <c r="L251" s="186" t="s">
        <v>2134</v>
      </c>
      <c r="M251" s="186" t="s">
        <v>2134</v>
      </c>
      <c r="P251" s="3">
        <v>816</v>
      </c>
    </row>
    <row r="252" spans="2:18" ht="93.75">
      <c r="B252" s="11" t="s">
        <v>1821</v>
      </c>
      <c r="C252" s="9" t="s">
        <v>2798</v>
      </c>
      <c r="D252" s="11" t="s">
        <v>2799</v>
      </c>
      <c r="E252" s="13">
        <v>3</v>
      </c>
      <c r="F252" s="13">
        <v>2</v>
      </c>
      <c r="G252" s="13"/>
      <c r="H252" s="13"/>
      <c r="I252" s="13" t="s">
        <v>2805</v>
      </c>
      <c r="J252" s="13"/>
      <c r="K252" s="18" t="s">
        <v>2794</v>
      </c>
      <c r="L252" s="186"/>
      <c r="M252" s="346" t="s">
        <v>2800</v>
      </c>
      <c r="P252" s="3" t="s">
        <v>2804</v>
      </c>
    </row>
    <row r="253" spans="2:18" ht="112.5">
      <c r="B253" s="355" t="s">
        <v>2817</v>
      </c>
      <c r="C253" s="356" t="s">
        <v>2818</v>
      </c>
      <c r="D253" s="136" t="s">
        <v>2822</v>
      </c>
      <c r="E253" s="13"/>
      <c r="F253" s="13"/>
      <c r="G253" s="13"/>
      <c r="H253" s="13"/>
      <c r="I253" s="13" t="s">
        <v>420</v>
      </c>
      <c r="J253" s="13"/>
      <c r="K253" s="18" t="s">
        <v>2819</v>
      </c>
      <c r="L253" s="18" t="s">
        <v>2821</v>
      </c>
      <c r="M253" s="14"/>
      <c r="N253" s="3" t="s">
        <v>2823</v>
      </c>
      <c r="O253" s="3" t="s">
        <v>2823</v>
      </c>
      <c r="P253" s="3" t="s">
        <v>2823</v>
      </c>
      <c r="Q253" s="3" t="s">
        <v>2823</v>
      </c>
    </row>
    <row r="254" spans="2:18" ht="168.75">
      <c r="B254" s="11" t="s">
        <v>2824</v>
      </c>
      <c r="C254" s="11" t="s">
        <v>2825</v>
      </c>
      <c r="D254" s="11" t="s">
        <v>2862</v>
      </c>
      <c r="E254" s="13" t="s">
        <v>2908</v>
      </c>
      <c r="F254" s="13" t="s">
        <v>2701</v>
      </c>
      <c r="G254" s="13"/>
      <c r="H254" s="13"/>
      <c r="I254" s="13" t="s">
        <v>420</v>
      </c>
      <c r="J254" s="13"/>
      <c r="K254" s="18" t="s">
        <v>2826</v>
      </c>
      <c r="L254" s="18" t="s">
        <v>2828</v>
      </c>
      <c r="M254" s="14"/>
      <c r="N254" s="3" t="s">
        <v>877</v>
      </c>
      <c r="O254" s="3" t="s">
        <v>877</v>
      </c>
      <c r="P254" s="3" t="s">
        <v>877</v>
      </c>
      <c r="Q254" s="3" t="s">
        <v>877</v>
      </c>
    </row>
    <row r="255" spans="2:18" ht="150">
      <c r="B255" s="11" t="s">
        <v>2824</v>
      </c>
      <c r="C255" s="11" t="s">
        <v>2825</v>
      </c>
      <c r="D255" s="11" t="s">
        <v>3383</v>
      </c>
      <c r="E255" s="13"/>
      <c r="F255" s="13"/>
      <c r="G255" s="13"/>
      <c r="H255" s="13"/>
      <c r="I255" s="28"/>
      <c r="J255" s="13"/>
      <c r="K255" s="18" t="s">
        <v>3384</v>
      </c>
      <c r="L255" s="18"/>
      <c r="M255" s="14"/>
    </row>
    <row r="256" spans="2:18" ht="168.75">
      <c r="B256" s="136" t="s">
        <v>2836</v>
      </c>
      <c r="C256" s="136" t="s">
        <v>2837</v>
      </c>
      <c r="D256" s="136" t="s">
        <v>2840</v>
      </c>
      <c r="E256" s="13">
        <v>4</v>
      </c>
      <c r="F256" s="13" t="s">
        <v>2701</v>
      </c>
      <c r="G256" s="13"/>
      <c r="H256" s="13"/>
      <c r="I256" s="13" t="s">
        <v>420</v>
      </c>
      <c r="J256" s="13"/>
      <c r="K256" s="18" t="s">
        <v>2879</v>
      </c>
      <c r="L256" s="18" t="s">
        <v>2880</v>
      </c>
      <c r="M256" s="14"/>
      <c r="N256" s="3" t="s">
        <v>1453</v>
      </c>
      <c r="O256" s="3" t="s">
        <v>1453</v>
      </c>
      <c r="P256" s="3" t="s">
        <v>1453</v>
      </c>
      <c r="Q256" s="3" t="s">
        <v>1453</v>
      </c>
    </row>
    <row r="257" spans="2:16" ht="93.75">
      <c r="B257" s="9" t="s">
        <v>2885</v>
      </c>
      <c r="C257" s="9" t="s">
        <v>2886</v>
      </c>
      <c r="D257" s="11" t="s">
        <v>2069</v>
      </c>
      <c r="E257" s="13"/>
      <c r="F257" s="13"/>
      <c r="G257" s="13"/>
      <c r="H257" s="13"/>
      <c r="I257" s="13" t="s">
        <v>420</v>
      </c>
      <c r="J257" s="13"/>
      <c r="K257" s="18" t="s">
        <v>2884</v>
      </c>
      <c r="L257" s="18" t="s">
        <v>2887</v>
      </c>
      <c r="M257" s="18" t="s">
        <v>2887</v>
      </c>
    </row>
    <row r="258" spans="2:16" ht="93.75">
      <c r="B258" s="9" t="s">
        <v>2264</v>
      </c>
      <c r="C258" s="9" t="s">
        <v>2886</v>
      </c>
      <c r="D258" s="11" t="s">
        <v>2069</v>
      </c>
      <c r="E258" s="13"/>
      <c r="F258" s="13"/>
      <c r="G258" s="13"/>
      <c r="H258" s="13"/>
      <c r="I258" s="13" t="s">
        <v>420</v>
      </c>
      <c r="J258" s="13"/>
      <c r="K258" s="18" t="s">
        <v>2884</v>
      </c>
      <c r="L258" s="18"/>
      <c r="M258" s="18" t="s">
        <v>2887</v>
      </c>
    </row>
    <row r="259" spans="2:16" ht="93.75">
      <c r="B259" s="337" t="s">
        <v>2917</v>
      </c>
      <c r="C259" s="11" t="s">
        <v>2628</v>
      </c>
      <c r="D259" s="11" t="s">
        <v>2918</v>
      </c>
      <c r="E259" s="13">
        <v>4</v>
      </c>
      <c r="F259" s="13" t="s">
        <v>1692</v>
      </c>
      <c r="G259" s="13"/>
      <c r="H259" s="13"/>
      <c r="I259" s="13" t="s">
        <v>2411</v>
      </c>
      <c r="J259" s="13"/>
      <c r="K259" s="18" t="s">
        <v>2913</v>
      </c>
      <c r="L259" s="18" t="s">
        <v>2916</v>
      </c>
      <c r="M259" s="14"/>
      <c r="N259" s="3">
        <v>1657</v>
      </c>
      <c r="P259" s="3">
        <v>1657</v>
      </c>
    </row>
    <row r="260" spans="2:16" ht="93.75">
      <c r="B260" s="9" t="s">
        <v>2957</v>
      </c>
      <c r="C260" s="9" t="s">
        <v>2958</v>
      </c>
      <c r="D260" s="11" t="s">
        <v>2959</v>
      </c>
      <c r="E260" s="13"/>
      <c r="F260" s="13"/>
      <c r="G260" s="13"/>
      <c r="H260" s="13"/>
      <c r="I260" s="13" t="s">
        <v>571</v>
      </c>
      <c r="J260" s="13"/>
      <c r="K260" s="18" t="s">
        <v>2956</v>
      </c>
      <c r="L260" s="14"/>
      <c r="M260" s="18" t="s">
        <v>2858</v>
      </c>
    </row>
    <row r="261" spans="2:16" ht="75">
      <c r="B261" s="11" t="s">
        <v>3013</v>
      </c>
      <c r="C261" s="11" t="s">
        <v>3014</v>
      </c>
      <c r="D261" s="11" t="s">
        <v>3015</v>
      </c>
      <c r="E261" s="13">
        <v>7</v>
      </c>
      <c r="F261" s="13">
        <v>2</v>
      </c>
      <c r="G261" s="13"/>
      <c r="H261" s="13"/>
      <c r="I261" s="13" t="s">
        <v>2774</v>
      </c>
      <c r="J261" s="13"/>
      <c r="K261" s="18" t="s">
        <v>3016</v>
      </c>
      <c r="L261" s="14"/>
      <c r="M261" s="18" t="s">
        <v>3017</v>
      </c>
    </row>
    <row r="262" spans="2:16" ht="112.5">
      <c r="B262" s="11" t="s">
        <v>3305</v>
      </c>
      <c r="C262" s="11" t="s">
        <v>3306</v>
      </c>
      <c r="D262" s="11" t="s">
        <v>3309</v>
      </c>
      <c r="E262" s="13">
        <v>5</v>
      </c>
      <c r="F262" s="13" t="s">
        <v>1692</v>
      </c>
      <c r="G262" s="13"/>
      <c r="H262" s="13"/>
      <c r="I262" s="13" t="s">
        <v>2314</v>
      </c>
      <c r="J262" s="13"/>
      <c r="K262" s="14" t="s">
        <v>3307</v>
      </c>
      <c r="L262" s="365" t="s">
        <v>1871</v>
      </c>
      <c r="M262" s="14"/>
      <c r="N262" s="3">
        <v>816</v>
      </c>
      <c r="O262" s="39" t="s">
        <v>3308</v>
      </c>
    </row>
    <row r="263" spans="2:16" ht="206.25">
      <c r="B263" s="10" t="s">
        <v>3350</v>
      </c>
      <c r="C263" s="10" t="s">
        <v>3352</v>
      </c>
      <c r="D263" s="10" t="s">
        <v>3355</v>
      </c>
      <c r="E263" s="13"/>
      <c r="F263" s="13"/>
      <c r="G263" s="13"/>
      <c r="H263" s="13"/>
      <c r="I263" s="368" t="s">
        <v>571</v>
      </c>
      <c r="J263" s="368"/>
      <c r="K263" s="369" t="s">
        <v>3353</v>
      </c>
      <c r="L263" s="368"/>
      <c r="M263" s="369" t="s">
        <v>3354</v>
      </c>
      <c r="N263" s="370" t="s">
        <v>3356</v>
      </c>
    </row>
    <row r="264" spans="2:16" ht="168.75">
      <c r="B264" s="11" t="s">
        <v>3391</v>
      </c>
      <c r="C264" s="11" t="s">
        <v>3392</v>
      </c>
      <c r="D264" s="371" t="s">
        <v>3393</v>
      </c>
      <c r="E264" s="13"/>
      <c r="F264" s="13"/>
      <c r="G264" s="13"/>
      <c r="H264" s="13"/>
      <c r="I264" s="368" t="s">
        <v>571</v>
      </c>
      <c r="J264" s="13"/>
      <c r="K264" s="18" t="s">
        <v>3394</v>
      </c>
      <c r="L264" s="14"/>
      <c r="M264" s="18" t="s">
        <v>3354</v>
      </c>
      <c r="N264" s="3" t="s">
        <v>1768</v>
      </c>
    </row>
  </sheetData>
  <autoFilter ref="A2:BH264" xr:uid="{00000000-0009-0000-0000-000001000000}"/>
  <mergeCells count="1">
    <mergeCell ref="A1:K1"/>
  </mergeCells>
  <conditionalFormatting sqref="B2">
    <cfRule type="duplicateValues" dxfId="2" priority="1"/>
  </conditionalFormatting>
  <conditionalFormatting sqref="B223">
    <cfRule type="duplicateValues" dxfId="1" priority="3"/>
  </conditionalFormatting>
  <conditionalFormatting sqref="B224">
    <cfRule type="duplicateValues" dxfId="0" priority="2"/>
  </conditionalFormatting>
  <printOptions horizontalCentered="1"/>
  <pageMargins left="0.48" right="0.196850393700787" top="0.27559055118110198" bottom="0.23622047244094499" header="0.196850393700787" footer="0.196850393700787"/>
  <pageSetup paperSize="9" scale="75" orientation="landscape" r:id="rId1"/>
  <headerFooter alignWithMargins="0">
    <oddFooter>&amp;CPage &amp;P&amp;R&amp;F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Nguy Hại</vt:lpstr>
      <vt:lpstr>Công Nghiệp</vt:lpstr>
      <vt:lpstr>'Công Nghiệp'!Print_Area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Du</dc:creator>
  <cp:lastModifiedBy>DELL</cp:lastModifiedBy>
  <cp:lastPrinted>2022-09-27T06:41:00Z</cp:lastPrinted>
  <dcterms:created xsi:type="dcterms:W3CDTF">1996-10-14T23:33:00Z</dcterms:created>
  <dcterms:modified xsi:type="dcterms:W3CDTF">2026-09-23T02:31:23Z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8840C83A064843ED905231BF98365D8F</vt:lpwstr>
  </property>
  <property fmtid="{D5CDD505-2E9C-101B-9397-08002B2CF9AE}" pid="3" name="KSOProductBuildVer">
    <vt:lpwstr>1033-11.2.0.11341</vt:lpwstr>
  </property>
</Properties>
</file>